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逐等级明细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8" customWidth="1" min="4" max="4"/>
    <col width="8" customWidth="1" min="5" max="5"/>
    <col width="8" customWidth="1" min="6" max="6"/>
    <col width="30" customWidth="1" min="7" max="7"/>
    <col width="34" customWidth="1" min="8" max="8"/>
    <col width="11" customWidth="1" min="9" max="9"/>
    <col width="11" customWidth="1" min="10" max="10"/>
    <col width="44" customWidth="1" min="11" max="11"/>
    <col width="22" customWidth="1" min="12" max="12"/>
  </cols>
  <sheetData>
    <row r="1">
      <c r="A1" s="1" t="inlineStr">
        <is>
          <t>技能配置总览（蓝色=可改输入；改完告诉我，我按此优化 game.js）</t>
        </is>
      </c>
    </row>
    <row r="3">
      <c r="A3" s="2" t="inlineStr">
        <is>
          <t>技能ID</t>
        </is>
      </c>
      <c r="B3" s="2" t="inlineStr">
        <is>
          <t>名称</t>
        </is>
      </c>
      <c r="C3" s="2" t="inlineStr">
        <is>
          <t>图标</t>
        </is>
      </c>
      <c r="D3" s="2" t="inlineStr">
        <is>
          <t>元素</t>
        </is>
      </c>
      <c r="E3" s="2" t="inlineStr">
        <is>
          <t>分类</t>
        </is>
      </c>
      <c r="F3" s="2" t="inlineStr">
        <is>
          <t>最大等级</t>
        </is>
      </c>
      <c r="G3" s="2" t="inlineStr">
        <is>
          <t>每级基础效果(汉语)</t>
        </is>
      </c>
      <c r="H3" s="2" t="inlineStr">
        <is>
          <t>质变节点(汉语)</t>
        </is>
      </c>
      <c r="I3" s="2" t="inlineStr">
        <is>
          <t>基准值①(蓝)</t>
        </is>
      </c>
      <c r="J3" s="2" t="inlineStr">
        <is>
          <t>基准值②(蓝)</t>
        </is>
      </c>
      <c r="K3" s="2" t="inlineStr">
        <is>
          <t>每级系数/增量说明</t>
        </is>
      </c>
      <c r="L3" s="2" t="inlineStr">
        <is>
          <t>代码绑定位置</t>
        </is>
      </c>
    </row>
    <row r="4">
      <c r="A4" s="3" t="inlineStr">
        <is>
          <t>damage</t>
        </is>
      </c>
      <c r="B4" s="3" t="inlineStr">
        <is>
          <t>火力强化</t>
        </is>
      </c>
      <c r="C4" s="3" t="inlineStr">
        <is>
          <t>🔫</t>
        </is>
      </c>
      <c r="D4" s="3" t="inlineStr">
        <is>
          <t>物理</t>
        </is>
      </c>
      <c r="E4" s="3" t="inlineStr">
        <is>
          <t>bullet</t>
        </is>
      </c>
      <c r="F4" s="3" t="n">
        <v>99</v>
      </c>
      <c r="G4" s="3" t="inlineStr">
        <is>
          <t>伤害 ×1.2（即 +20%）</t>
        </is>
      </c>
      <c r="H4" s="3" t="inlineStr">
        <is>
          <t>Lv5: 穿透 +1</t>
        </is>
      </c>
      <c r="I4" s="4" t="n">
        <v>10</v>
      </c>
      <c r="J4" s="4" t="inlineStr"/>
      <c r="K4" s="3" t="inlineStr">
        <is>
          <t>每级 player.damage *= 1.2；Lv5 → bulletPiercing++</t>
        </is>
      </c>
      <c r="L4" s="3" t="inlineStr">
        <is>
          <t>game.js:824</t>
        </is>
      </c>
    </row>
    <row r="5">
      <c r="A5" s="3" t="inlineStr">
        <is>
          <t>fireRate</t>
        </is>
      </c>
      <c r="B5" s="3" t="inlineStr">
        <is>
          <t>急速射击</t>
        </is>
      </c>
      <c r="C5" s="3" t="inlineStr">
        <is>
          <t>»</t>
        </is>
      </c>
      <c r="D5" s="3" t="inlineStr">
        <is>
          <t>物理</t>
        </is>
      </c>
      <c r="E5" s="3" t="inlineStr">
        <is>
          <t>bullet</t>
        </is>
      </c>
      <c r="F5" s="3" t="n">
        <v>99</v>
      </c>
      <c r="G5" s="3" t="inlineStr">
        <is>
          <t>射击间隔 ×0.85（射速约 +17.6%）</t>
        </is>
      </c>
      <c r="H5" s="3" t="inlineStr">
        <is>
          <t>Lv3: 射击间隔再 ×0.95; Lv5: 射击间隔再 ×0.95</t>
        </is>
      </c>
      <c r="I5" s="4" t="n">
        <v>500</v>
      </c>
      <c r="J5" s="4" t="inlineStr"/>
      <c r="K5" s="3" t="inlineStr">
        <is>
          <t>每级 fireRate *= 0.85；质变 Lv3/Lv5 各再 ×0.95</t>
        </is>
      </c>
      <c r="L5" s="3" t="inlineStr">
        <is>
          <t>game.js:826</t>
        </is>
      </c>
    </row>
    <row r="6">
      <c r="A6" s="3" t="inlineStr">
        <is>
          <t>bulletCount</t>
        </is>
      </c>
      <c r="B6" s="3" t="inlineStr">
        <is>
          <t>多重射击</t>
        </is>
      </c>
      <c r="C6" s="3" t="inlineStr">
        <is>
          <t>🎯</t>
        </is>
      </c>
      <c r="D6" s="3" t="inlineStr">
        <is>
          <t>物理</t>
        </is>
      </c>
      <c r="E6" s="3" t="inlineStr">
        <is>
          <t>bullet</t>
        </is>
      </c>
      <c r="F6" s="3" t="n">
        <v>20</v>
      </c>
      <c r="G6" s="3" t="inlineStr">
        <is>
          <t>子弹数 +1</t>
        </is>
      </c>
      <c r="H6" s="3" t="inlineStr">
        <is>
          <t>Lv5: 命中后分裂迸射小弹</t>
        </is>
      </c>
      <c r="I6" s="4" t="n">
        <v>1</v>
      </c>
      <c r="J6" s="4" t="inlineStr"/>
      <c r="K6" s="3" t="inlineStr">
        <is>
          <t>每级 player.bulletCount++；Lv5 → _splitOnHit=true</t>
        </is>
      </c>
      <c r="L6" s="3" t="inlineStr">
        <is>
          <t>game.js:828</t>
        </is>
      </c>
    </row>
    <row r="7">
      <c r="A7" s="3" t="inlineStr">
        <is>
          <t>bulletSpeed</t>
        </is>
      </c>
      <c r="B7" s="3" t="inlineStr">
        <is>
          <t>高速子弹</t>
        </is>
      </c>
      <c r="C7" s="3" t="inlineStr">
        <is>
          <t>💨</t>
        </is>
      </c>
      <c r="D7" s="3" t="inlineStr">
        <is>
          <t>物理</t>
        </is>
      </c>
      <c r="E7" s="3" t="inlineStr">
        <is>
          <t>bullet</t>
        </is>
      </c>
      <c r="F7" s="3" t="n">
        <v>99</v>
      </c>
      <c r="G7" s="3" t="inlineStr">
        <is>
          <t>弹速 ×1.2（+20%）</t>
        </is>
      </c>
      <c r="H7" s="3" t="inlineStr">
        <is>
          <t>Lv3: 弹速再 ×1.1; Lv5: 穿透 +1</t>
        </is>
      </c>
      <c r="I7" s="4" t="n">
        <v>10</v>
      </c>
      <c r="J7" s="4" t="inlineStr"/>
      <c r="K7" s="3" t="inlineStr">
        <is>
          <t>每级 bulletSpeed *= 1.2；质变 Lv3 ×1.1、Lv5 piercing++</t>
        </is>
      </c>
      <c r="L7" s="3" t="inlineStr">
        <is>
          <t>game.js:830</t>
        </is>
      </c>
    </row>
    <row r="8">
      <c r="A8" s="3" t="inlineStr">
        <is>
          <t>piercing</t>
        </is>
      </c>
      <c r="B8" s="3" t="inlineStr">
        <is>
          <t>穿透弹</t>
        </is>
      </c>
      <c r="C8" s="3" t="inlineStr">
        <is>
          <t>🗡️</t>
        </is>
      </c>
      <c r="D8" s="3" t="inlineStr">
        <is>
          <t>物理</t>
        </is>
      </c>
      <c r="E8" s="3" t="inlineStr">
        <is>
          <t>bullet</t>
        </is>
      </c>
      <c r="F8" s="3" t="n">
        <v>30</v>
      </c>
      <c r="G8" s="3" t="inlineStr">
        <is>
          <t>穿透 +1</t>
        </is>
      </c>
      <c r="H8" s="3" t="inlineStr">
        <is>
          <t>Lv3: 穿透 +1; Lv5: 穿透命中溅射小范围</t>
        </is>
      </c>
      <c r="I8" s="4" t="n">
        <v>1</v>
      </c>
      <c r="J8" s="4" t="inlineStr"/>
      <c r="K8" s="3" t="inlineStr">
        <is>
          <t>每级 bulletPiercing++；Lv3 再 +1、Lv5 → _splash</t>
        </is>
      </c>
      <c r="L8" s="3" t="inlineStr">
        <is>
          <t>game.js:832</t>
        </is>
      </c>
    </row>
    <row r="9">
      <c r="A9" s="3" t="inlineStr">
        <is>
          <t>health</t>
        </is>
      </c>
      <c r="B9" s="3" t="inlineStr">
        <is>
          <t>生命强化</t>
        </is>
      </c>
      <c r="C9" s="3" t="inlineStr">
        <is>
          <t>❤️</t>
        </is>
      </c>
      <c r="D9" s="3" t="inlineStr">
        <is>
          <t>物理</t>
        </is>
      </c>
      <c r="E9" s="3" t="inlineStr">
        <is>
          <t>buff</t>
        </is>
      </c>
      <c r="F9" s="3" t="n">
        <v>99</v>
      </c>
      <c r="G9" s="3" t="inlineStr">
        <is>
          <t>最大生命 +20</t>
        </is>
      </c>
      <c r="H9" s="3" t="inlineStr">
        <is>
          <t>Lv3: 每级额外生命 +10（Lv3 起每级共 +30）</t>
        </is>
      </c>
      <c r="I9" s="4" t="n">
        <v>100</v>
      </c>
      <c r="J9" s="4" t="inlineStr"/>
      <c r="K9" s="3" t="inlineStr">
        <is>
          <t>每级 maxHealth += 20；Lv3 起每级额外 +10</t>
        </is>
      </c>
      <c r="L9" s="3" t="inlineStr">
        <is>
          <t>game.js:834</t>
        </is>
      </c>
    </row>
    <row r="10">
      <c r="A10" s="3" t="inlineStr">
        <is>
          <t>explosive</t>
        </is>
      </c>
      <c r="B10" s="3" t="inlineStr">
        <is>
          <t>爆炸弹</t>
        </is>
      </c>
      <c r="C10" s="3" t="inlineStr">
        <is>
          <t>💥</t>
        </is>
      </c>
      <c r="D10" s="3" t="inlineStr">
        <is>
          <t>火</t>
        </is>
      </c>
      <c r="E10" s="3" t="inlineStr">
        <is>
          <t>bullet</t>
        </is>
      </c>
      <c r="F10" s="3" t="n">
        <v>99</v>
      </c>
      <c r="G10" s="3" t="inlineStr">
        <is>
          <t>爆炸半径 +20；AOE伤害 = 单发×(0.3+0.1×等级)</t>
        </is>
      </c>
      <c r="H10" s="3" t="inlineStr">
        <is>
          <t>Lv3: 爆炸遗留火池(灼烧); Lv5: 范围 +50% &amp; 二次小爆</t>
        </is>
      </c>
      <c r="I10" s="4" t="n">
        <v>10</v>
      </c>
      <c r="J10" s="4" t="inlineStr"/>
      <c r="K10" s="3" t="inlineStr">
        <is>
          <t>半径=40+20×lv（Lv5×1.5）；AOE=伤害×(0.3+0.1×lv)（Lv5×1.5）</t>
        </is>
      </c>
      <c r="L10" s="3" t="inlineStr">
        <is>
          <t>game.js:836 / 3188-3207</t>
        </is>
      </c>
    </row>
    <row r="11">
      <c r="A11" s="3" t="inlineStr">
        <is>
          <t>lightning</t>
        </is>
      </c>
      <c r="B11" s="3" t="inlineStr">
        <is>
          <t>闪电链</t>
        </is>
      </c>
      <c r="C11" s="3" t="inlineStr">
        <is>
          <t>⚡</t>
        </is>
      </c>
      <c r="D11" s="3" t="inlineStr">
        <is>
          <t>雷</t>
        </is>
      </c>
      <c r="E11" s="3" t="inlineStr">
        <is>
          <t>bullet</t>
        </is>
      </c>
      <c r="F11" s="3" t="n">
        <v>99</v>
      </c>
      <c r="G11" s="3" t="inlineStr">
        <is>
          <t>闪电链数 +1</t>
        </is>
      </c>
      <c r="H11" s="3" t="inlineStr">
        <is>
          <t>Lv3: 链目标 +2; Lv5: 链命中触发导电(链伤 +30%)</t>
        </is>
      </c>
      <c r="I11" s="4" t="n">
        <v>10</v>
      </c>
      <c r="J11" s="4" t="inlineStr"/>
      <c r="K11" s="3" t="inlineStr">
        <is>
          <t>链数=lv+1+（Lv3:+2）；链伤=伤害×0.4×(Lv5:×1.3)</t>
        </is>
      </c>
      <c r="L11" s="3" t="inlineStr">
        <is>
          <t>game.js:838 / 3209-3238</t>
        </is>
      </c>
    </row>
    <row r="12">
      <c r="A12" s="3" t="inlineStr">
        <is>
          <t>shield</t>
        </is>
      </c>
      <c r="B12" s="3" t="inlineStr">
        <is>
          <t>护盾</t>
        </is>
      </c>
      <c r="C12" s="3" t="inlineStr">
        <is>
          <t>🛡️</t>
        </is>
      </c>
      <c r="D12" s="3" t="inlineStr">
        <is>
          <t>物理</t>
        </is>
      </c>
      <c r="E12" s="3" t="inlineStr">
        <is>
          <t>buff</t>
        </is>
      </c>
      <c r="F12" s="3" t="n">
        <v>8</v>
      </c>
      <c r="G12" s="3" t="inlineStr">
        <is>
          <t>受到伤害 −10%</t>
        </is>
      </c>
      <c r="H12" s="3" t="inlineStr">
        <is>
          <t>Lv3: 减伤额外 +5%; Lv5: 受击反弹 10%</t>
        </is>
      </c>
      <c r="I12" s="4" t="n">
        <v>0</v>
      </c>
      <c r="J12" s="4" t="inlineStr"/>
      <c r="K12" s="3" t="inlineStr">
        <is>
          <t>减伤=lv×0.1（封顶0.8）；Lv3 +0.05；Lv5 → _reflect</t>
        </is>
      </c>
      <c r="L12" s="3" t="inlineStr">
        <is>
          <t>game.js:840 / 958-962</t>
        </is>
      </c>
    </row>
    <row r="13">
      <c r="A13" s="3" t="inlineStr">
        <is>
          <t>crit</t>
        </is>
      </c>
      <c r="B13" s="3" t="inlineStr">
        <is>
          <t>致命暴击</t>
        </is>
      </c>
      <c r="C13" s="3" t="inlineStr">
        <is>
          <t>💢</t>
        </is>
      </c>
      <c r="D13" s="3" t="inlineStr">
        <is>
          <t>物理</t>
        </is>
      </c>
      <c r="E13" s="3" t="inlineStr">
        <is>
          <t>buff</t>
        </is>
      </c>
      <c r="F13" s="3" t="n">
        <v>12</v>
      </c>
      <c r="G13" s="3" t="inlineStr">
        <is>
          <t>暴击率 +5%</t>
        </is>
      </c>
      <c r="H13" s="3" t="inlineStr">
        <is>
          <t>Lv3: 暴击伤害 +20%; Lv5: 暴击触发小爆炸</t>
        </is>
      </c>
      <c r="I13" s="4" t="n">
        <v>0</v>
      </c>
      <c r="J13" s="4" t="inlineStr"/>
      <c r="K13" s="3" t="inlineStr">
        <is>
          <t>暴击率=lv×0.05(封顶0.6)；暴伤倍率=1+lv×0.1(+Lv3 0.2)；Lv5 → _explode</t>
        </is>
      </c>
      <c r="L13" s="3" t="inlineStr">
        <is>
          <t>game.js:842 / 935-942</t>
        </is>
      </c>
    </row>
    <row r="14">
      <c r="A14" s="3" t="inlineStr">
        <is>
          <t>freeze</t>
        </is>
      </c>
      <c r="B14" s="3" t="inlineStr">
        <is>
          <t>冰霜弹</t>
        </is>
      </c>
      <c r="C14" s="3" t="inlineStr">
        <is>
          <t>❄️</t>
        </is>
      </c>
      <c r="D14" s="3" t="inlineStr">
        <is>
          <t>冰</t>
        </is>
      </c>
      <c r="E14" s="3" t="inlineStr">
        <is>
          <t>bullet</t>
        </is>
      </c>
      <c r="F14" s="3" t="n">
        <v>8</v>
      </c>
      <c r="G14" s="3" t="inlineStr">
        <is>
          <t>冰冻几率 +6%</t>
        </is>
      </c>
      <c r="H14" s="3" t="inlineStr">
        <is>
          <t>Lv3: 冰冻残留减速; Lv5: 20% 几率眩晕</t>
        </is>
      </c>
      <c r="I14" s="4" t="n">
        <v>0</v>
      </c>
      <c r="J14" s="4" t="inlineStr"/>
      <c r="K14" s="3" t="inlineStr">
        <is>
          <t>冰冻率=lv×0.06(封顶0.5)；时长=1000+lv×120(封顶2600)；Lv5 → _stun</t>
        </is>
      </c>
      <c r="L14" s="3" t="inlineStr">
        <is>
          <t>game.js:844 / 943-948</t>
        </is>
      </c>
    </row>
    <row r="15">
      <c r="A15" s="3" t="inlineStr">
        <is>
          <t>slow</t>
        </is>
      </c>
      <c r="B15" s="3" t="inlineStr">
        <is>
          <t>缓速弹</t>
        </is>
      </c>
      <c r="C15" s="3" t="inlineStr">
        <is>
          <t>🐌</t>
        </is>
      </c>
      <c r="D15" s="3" t="inlineStr">
        <is>
          <t>冰</t>
        </is>
      </c>
      <c r="E15" s="3" t="inlineStr">
        <is>
          <t>cc</t>
        </is>
      </c>
      <c r="F15" s="3" t="n">
        <v>8</v>
      </c>
      <c r="G15" s="3" t="inlineStr">
        <is>
          <t>减速几率 +8%</t>
        </is>
      </c>
      <c r="H15" s="3" t="inlineStr">
        <is>
          <t>Lv3: 减速更强(因子再 −0.1); Lv5: 减速标记易感</t>
        </is>
      </c>
      <c r="I15" s="4" t="n">
        <v>0</v>
      </c>
      <c r="J15" s="4" t="inlineStr"/>
      <c r="K15" s="3" t="inlineStr">
        <is>
          <t>减速率=lv×0.08(封顶0.6)；因子=0.7−lv×0.04(Lv3 −0.1,下限0.3)；Lv5 → _conductive</t>
        </is>
      </c>
      <c r="L15" s="3" t="inlineStr">
        <is>
          <t>game.js:846 / 949-957</t>
        </is>
      </c>
    </row>
    <row r="16">
      <c r="A16" s="3" t="inlineStr">
        <is>
          <t>mine</t>
        </is>
      </c>
      <c r="B16" s="3" t="inlineStr">
        <is>
          <t>地雷</t>
        </is>
      </c>
      <c r="C16" s="3" t="inlineStr">
        <is>
          <t>💣</t>
        </is>
      </c>
      <c r="D16" s="3" t="inlineStr">
        <is>
          <t>物理</t>
        </is>
      </c>
      <c r="E16" s="3" t="inlineStr">
        <is>
          <t>field</t>
        </is>
      </c>
      <c r="F16" s="3" t="n">
        <v>10</v>
      </c>
      <c r="G16" s="3" t="inlineStr">
        <is>
          <t>地雷数量 +1；半径 +12</t>
        </is>
      </c>
      <c r="H16" s="3" t="inlineStr">
        <is>
          <t>Lv3: 伤害 +50%; Lv5: 爆炸附加减速</t>
        </is>
      </c>
      <c r="I16" s="4" t="n">
        <v>10</v>
      </c>
      <c r="J16" s="4" t="inlineStr"/>
      <c r="K16" s="3" t="inlineStr">
        <is>
          <t>数量=2+lv；半径=40+12×lv；伤害=裸伤×(0.5+0.12×lv)×2(Lv3×1.5)</t>
        </is>
      </c>
      <c r="L16" s="3" t="inlineStr">
        <is>
          <t>game.js:849 / 3603-3634</t>
        </is>
      </c>
    </row>
    <row r="17">
      <c r="A17" s="3" t="inlineStr">
        <is>
          <t>oil</t>
        </is>
      </c>
      <c r="B17" s="3" t="inlineStr">
        <is>
          <t>油渍</t>
        </is>
      </c>
      <c r="C17" s="3" t="inlineStr">
        <is>
          <t>🛢️</t>
        </is>
      </c>
      <c r="D17" s="3" t="inlineStr">
        <is>
          <t>火</t>
        </is>
      </c>
      <c r="E17" s="3" t="inlineStr">
        <is>
          <t>field</t>
        </is>
      </c>
      <c r="F17" s="3" t="n">
        <v>5</v>
      </c>
      <c r="G17" s="3" t="inlineStr">
        <is>
          <t>油渍数量 +1；半径 ×1.1 复合成长</t>
        </is>
      </c>
      <c r="H17" s="3" t="inlineStr">
        <is>
          <t>Lv3: 灼烧 DOT ×2; Lv5: 额外火池 +1 &amp; 减速</t>
        </is>
      </c>
      <c r="I17" s="4" t="n">
        <v>10</v>
      </c>
      <c r="J17" s="4" t="inlineStr"/>
      <c r="K17" s="3" t="inlineStr">
        <is>
          <t>数量=1+lv(+Lv5 +1)；半径=52.2×1.1^(lv−1)；DOT=裸伤×(Lv3:×2)</t>
        </is>
      </c>
      <c r="L17" s="3" t="inlineStr">
        <is>
          <t>game.js:851 / 3636-3666</t>
        </is>
      </c>
    </row>
    <row r="18">
      <c r="A18" s="3" t="inlineStr">
        <is>
          <t>tornado</t>
        </is>
      </c>
      <c r="B18" s="3" t="inlineStr">
        <is>
          <t>龙卷风</t>
        </is>
      </c>
      <c r="C18" s="3" t="inlineStr">
        <is>
          <t>🌪️</t>
        </is>
      </c>
      <c r="D18" s="3" t="inlineStr">
        <is>
          <t>风</t>
        </is>
      </c>
      <c r="E18" s="3" t="inlineStr">
        <is>
          <t>cc</t>
        </is>
      </c>
      <c r="F18" s="3" t="n">
        <v>10</v>
      </c>
      <c r="G18" s="3" t="inlineStr">
        <is>
          <t>龙卷风半径 +20</t>
        </is>
      </c>
      <c r="H18" s="3" t="inlineStr">
        <is>
          <t>Lv3: 牵引力 +50%; Lv5: 龙卷内风伤启用</t>
        </is>
      </c>
      <c r="I18" s="4" t="n">
        <v>10</v>
      </c>
      <c r="J18" s="4" t="inlineStr"/>
      <c r="K18" s="3" t="inlineStr">
        <is>
          <t>半径=140+20×lv；牵引=0.02×(1+0.3×lv)(Lv3×1.5)；Lv5 风DPS=裸伤×0.1/0.5s</t>
        </is>
      </c>
      <c r="L18" s="3" t="inlineStr">
        <is>
          <t>game.js:853 / 3668-3705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40" customWidth="1" min="3" max="3"/>
    <col width="22" customWidth="1" min="4" max="4"/>
    <col width="22" customWidth="1" min="5" max="5"/>
    <col width="24" customWidth="1" min="6" max="6"/>
    <col width="12" customWidth="1" min="7" max="7"/>
  </cols>
  <sheetData>
    <row r="1">
      <c r="A1" s="1" t="inlineStr">
        <is>
          <t>逐等级数值明细（累计数值用 Excel 公式动态计算；黄底=质变节点；改 Sheet1 基准值后此处自动更新）</t>
        </is>
      </c>
    </row>
    <row r="3">
      <c r="A3" s="5" t="inlineStr">
        <is>
          <t>技能(图标)</t>
        </is>
      </c>
      <c r="B3" s="5" t="inlineStr">
        <is>
          <t>等级</t>
        </is>
      </c>
      <c r="C3" s="5" t="inlineStr">
        <is>
          <t>本等级效果(汉语)</t>
        </is>
      </c>
      <c r="D3" s="5" t="inlineStr">
        <is>
          <t>主数值(累计)</t>
        </is>
      </c>
      <c r="E3" s="5" t="inlineStr">
        <is>
          <t>副数值①(累计)</t>
        </is>
      </c>
      <c r="F3" s="5" t="inlineStr">
        <is>
          <t>副数值②(累计)</t>
        </is>
      </c>
      <c r="G3" s="5" t="inlineStr">
        <is>
          <t>质变</t>
        </is>
      </c>
    </row>
    <row r="4">
      <c r="A4" s="6" t="inlineStr">
        <is>
          <t>🔫火力强化</t>
        </is>
      </c>
      <c r="B4" s="6" t="n">
        <v>1</v>
      </c>
      <c r="C4" s="7" t="inlineStr">
        <is>
          <t>伤害 ×1.2（即 +20%）</t>
        </is>
      </c>
      <c r="D4" s="6">
        <f>Config!I4*1.2^B4</f>
        <v/>
      </c>
      <c r="E4" s="6" t="inlineStr">
        <is>
          <t>-</t>
        </is>
      </c>
      <c r="F4" s="6" t="inlineStr">
        <is>
          <t>-</t>
        </is>
      </c>
      <c r="G4" s="6" t="inlineStr"/>
    </row>
    <row r="5">
      <c r="A5" s="6" t="inlineStr">
        <is>
          <t>🔫火力强化</t>
        </is>
      </c>
      <c r="B5" s="6" t="n">
        <v>2</v>
      </c>
      <c r="C5" s="7" t="inlineStr">
        <is>
          <t>伤害 ×1.2（即 +20%）</t>
        </is>
      </c>
      <c r="D5" s="6">
        <f>Config!I4*1.2^B5</f>
        <v/>
      </c>
      <c r="E5" s="6" t="inlineStr">
        <is>
          <t>-</t>
        </is>
      </c>
      <c r="F5" s="6" t="inlineStr">
        <is>
          <t>-</t>
        </is>
      </c>
      <c r="G5" s="6" t="inlineStr"/>
    </row>
    <row r="6">
      <c r="A6" s="6" t="inlineStr">
        <is>
          <t>🔫火力强化</t>
        </is>
      </c>
      <c r="B6" s="6" t="n">
        <v>3</v>
      </c>
      <c r="C6" s="7" t="inlineStr">
        <is>
          <t>伤害 ×1.2（即 +20%）</t>
        </is>
      </c>
      <c r="D6" s="6">
        <f>Config!I4*1.2^B6</f>
        <v/>
      </c>
      <c r="E6" s="6" t="inlineStr">
        <is>
          <t>-</t>
        </is>
      </c>
      <c r="F6" s="6" t="inlineStr">
        <is>
          <t>-</t>
        </is>
      </c>
      <c r="G6" s="6" t="inlineStr"/>
    </row>
    <row r="7">
      <c r="A7" s="6" t="inlineStr">
        <is>
          <t>🔫火力强化</t>
        </is>
      </c>
      <c r="B7" s="6" t="n">
        <v>4</v>
      </c>
      <c r="C7" s="7" t="inlineStr">
        <is>
          <t>伤害 ×1.2（即 +20%）</t>
        </is>
      </c>
      <c r="D7" s="6">
        <f>Config!I4*1.2^B7</f>
        <v/>
      </c>
      <c r="E7" s="6" t="inlineStr">
        <is>
          <t>-</t>
        </is>
      </c>
      <c r="F7" s="6" t="inlineStr">
        <is>
          <t>-</t>
        </is>
      </c>
      <c r="G7" s="6" t="inlineStr"/>
    </row>
    <row r="8">
      <c r="A8" s="8" t="inlineStr">
        <is>
          <t>🔫火力强化</t>
        </is>
      </c>
      <c r="B8" s="8" t="n">
        <v>5</v>
      </c>
      <c r="C8" s="9" t="inlineStr">
        <is>
          <t>穿透 +1</t>
        </is>
      </c>
      <c r="D8" s="8">
        <f>Config!I4*1.2^B8</f>
        <v/>
      </c>
      <c r="E8" s="8" t="inlineStr">
        <is>
          <t>-</t>
        </is>
      </c>
      <c r="F8" s="8" t="inlineStr">
        <is>
          <t>-</t>
        </is>
      </c>
      <c r="G8" s="8" t="inlineStr">
        <is>
          <t>★Lv5质变</t>
        </is>
      </c>
    </row>
    <row r="9">
      <c r="A9" s="6" t="inlineStr">
        <is>
          <t>🔫火力强化</t>
        </is>
      </c>
      <c r="B9" s="6" t="n">
        <v>6</v>
      </c>
      <c r="C9" s="7" t="inlineStr">
        <is>
          <t>伤害 ×1.2（即 +20%）</t>
        </is>
      </c>
      <c r="D9" s="6">
        <f>Config!I4*1.2^B9</f>
        <v/>
      </c>
      <c r="E9" s="6" t="inlineStr">
        <is>
          <t>-</t>
        </is>
      </c>
      <c r="F9" s="6" t="inlineStr">
        <is>
          <t>-</t>
        </is>
      </c>
      <c r="G9" s="6" t="inlineStr"/>
    </row>
    <row r="10">
      <c r="A10" s="6" t="inlineStr">
        <is>
          <t>🔫火力强化</t>
        </is>
      </c>
      <c r="B10" s="6" t="n">
        <v>7</v>
      </c>
      <c r="C10" s="7" t="inlineStr">
        <is>
          <t>伤害 ×1.2（即 +20%）</t>
        </is>
      </c>
      <c r="D10" s="6">
        <f>Config!I4*1.2^B10</f>
        <v/>
      </c>
      <c r="E10" s="6" t="inlineStr">
        <is>
          <t>-</t>
        </is>
      </c>
      <c r="F10" s="6" t="inlineStr">
        <is>
          <t>-</t>
        </is>
      </c>
      <c r="G10" s="6" t="inlineStr"/>
    </row>
    <row r="11">
      <c r="A11" s="6" t="inlineStr">
        <is>
          <t>🔫火力强化</t>
        </is>
      </c>
      <c r="B11" s="6" t="n">
        <v>8</v>
      </c>
      <c r="C11" s="7" t="inlineStr">
        <is>
          <t>伤害 ×1.2（即 +20%）</t>
        </is>
      </c>
      <c r="D11" s="6">
        <f>Config!I4*1.2^B11</f>
        <v/>
      </c>
      <c r="E11" s="6" t="inlineStr">
        <is>
          <t>-</t>
        </is>
      </c>
      <c r="F11" s="6" t="inlineStr">
        <is>
          <t>-</t>
        </is>
      </c>
      <c r="G11" s="6" t="inlineStr"/>
    </row>
    <row r="12">
      <c r="A12" s="6" t="inlineStr">
        <is>
          <t>🔫火力强化</t>
        </is>
      </c>
      <c r="B12" s="6" t="n">
        <v>9</v>
      </c>
      <c r="C12" s="7" t="inlineStr">
        <is>
          <t>伤害 ×1.2（即 +20%）</t>
        </is>
      </c>
      <c r="D12" s="6">
        <f>Config!I4*1.2^B12</f>
        <v/>
      </c>
      <c r="E12" s="6" t="inlineStr">
        <is>
          <t>-</t>
        </is>
      </c>
      <c r="F12" s="6" t="inlineStr">
        <is>
          <t>-</t>
        </is>
      </c>
      <c r="G12" s="6" t="inlineStr"/>
    </row>
    <row r="13">
      <c r="A13" s="6" t="inlineStr">
        <is>
          <t>🔫火力强化</t>
        </is>
      </c>
      <c r="B13" s="6" t="n">
        <v>10</v>
      </c>
      <c r="C13" s="7" t="inlineStr">
        <is>
          <t>伤害 ×1.2（即 +20%）</t>
        </is>
      </c>
      <c r="D13" s="6">
        <f>Config!I4*1.2^B13</f>
        <v/>
      </c>
      <c r="E13" s="6" t="inlineStr">
        <is>
          <t>-</t>
        </is>
      </c>
      <c r="F13" s="6" t="inlineStr">
        <is>
          <t>-</t>
        </is>
      </c>
      <c r="G13" s="6" t="inlineStr"/>
    </row>
    <row r="14">
      <c r="A14" s="6" t="inlineStr">
        <is>
          <t>🔫火力强化</t>
        </is>
      </c>
      <c r="B14" s="6" t="n">
        <v>11</v>
      </c>
      <c r="C14" s="7" t="inlineStr">
        <is>
          <t>伤害 ×1.2（即 +20%）</t>
        </is>
      </c>
      <c r="D14" s="6">
        <f>Config!I4*1.2^B14</f>
        <v/>
      </c>
      <c r="E14" s="6" t="inlineStr">
        <is>
          <t>-</t>
        </is>
      </c>
      <c r="F14" s="6" t="inlineStr">
        <is>
          <t>-</t>
        </is>
      </c>
      <c r="G14" s="6" t="inlineStr"/>
    </row>
    <row r="15">
      <c r="A15" s="6" t="inlineStr">
        <is>
          <t>🔫火力强化</t>
        </is>
      </c>
      <c r="B15" s="6" t="n">
        <v>12</v>
      </c>
      <c r="C15" s="7" t="inlineStr">
        <is>
          <t>伤害 ×1.2（即 +20%）</t>
        </is>
      </c>
      <c r="D15" s="6">
        <f>Config!I4*1.2^B15</f>
        <v/>
      </c>
      <c r="E15" s="6" t="inlineStr">
        <is>
          <t>-</t>
        </is>
      </c>
      <c r="F15" s="6" t="inlineStr">
        <is>
          <t>-</t>
        </is>
      </c>
      <c r="G15" s="6" t="inlineStr"/>
    </row>
    <row r="16">
      <c r="A16" s="6" t="inlineStr">
        <is>
          <t>🔫火力强化</t>
        </is>
      </c>
      <c r="B16" s="6" t="n">
        <v>13</v>
      </c>
      <c r="C16" s="7" t="inlineStr">
        <is>
          <t>伤害 ×1.2（即 +20%）</t>
        </is>
      </c>
      <c r="D16" s="6">
        <f>Config!I4*1.2^B16</f>
        <v/>
      </c>
      <c r="E16" s="6" t="inlineStr">
        <is>
          <t>-</t>
        </is>
      </c>
      <c r="F16" s="6" t="inlineStr">
        <is>
          <t>-</t>
        </is>
      </c>
      <c r="G16" s="6" t="inlineStr"/>
    </row>
    <row r="17">
      <c r="A17" s="6" t="inlineStr">
        <is>
          <t>🔫火力强化</t>
        </is>
      </c>
      <c r="B17" s="6" t="n">
        <v>14</v>
      </c>
      <c r="C17" s="7" t="inlineStr">
        <is>
          <t>伤害 ×1.2（即 +20%）</t>
        </is>
      </c>
      <c r="D17" s="6">
        <f>Config!I4*1.2^B17</f>
        <v/>
      </c>
      <c r="E17" s="6" t="inlineStr">
        <is>
          <t>-</t>
        </is>
      </c>
      <c r="F17" s="6" t="inlineStr">
        <is>
          <t>-</t>
        </is>
      </c>
      <c r="G17" s="6" t="inlineStr"/>
    </row>
    <row r="18">
      <c r="A18" s="6" t="inlineStr">
        <is>
          <t>🔫火力强化</t>
        </is>
      </c>
      <c r="B18" s="6" t="n">
        <v>15</v>
      </c>
      <c r="C18" s="7" t="inlineStr">
        <is>
          <t>伤害 ×1.2（即 +20%）</t>
        </is>
      </c>
      <c r="D18" s="6">
        <f>Config!I4*1.2^B18</f>
        <v/>
      </c>
      <c r="E18" s="6" t="inlineStr">
        <is>
          <t>-</t>
        </is>
      </c>
      <c r="F18" s="6" t="inlineStr">
        <is>
          <t>-</t>
        </is>
      </c>
      <c r="G18" s="6" t="inlineStr"/>
    </row>
    <row r="19">
      <c r="A19" s="6" t="inlineStr">
        <is>
          <t>🔫火力强化</t>
        </is>
      </c>
      <c r="B19" s="6" t="n">
        <v>16</v>
      </c>
      <c r="C19" s="7" t="inlineStr">
        <is>
          <t>伤害 ×1.2（即 +20%）</t>
        </is>
      </c>
      <c r="D19" s="6">
        <f>Config!I4*1.2^B19</f>
        <v/>
      </c>
      <c r="E19" s="6" t="inlineStr">
        <is>
          <t>-</t>
        </is>
      </c>
      <c r="F19" s="6" t="inlineStr">
        <is>
          <t>-</t>
        </is>
      </c>
      <c r="G19" s="6" t="inlineStr"/>
    </row>
    <row r="20">
      <c r="A20" s="6" t="inlineStr">
        <is>
          <t>🔫火力强化</t>
        </is>
      </c>
      <c r="B20" s="6" t="n">
        <v>17</v>
      </c>
      <c r="C20" s="7" t="inlineStr">
        <is>
          <t>伤害 ×1.2（即 +20%）</t>
        </is>
      </c>
      <c r="D20" s="6">
        <f>Config!I4*1.2^B20</f>
        <v/>
      </c>
      <c r="E20" s="6" t="inlineStr">
        <is>
          <t>-</t>
        </is>
      </c>
      <c r="F20" s="6" t="inlineStr">
        <is>
          <t>-</t>
        </is>
      </c>
      <c r="G20" s="6" t="inlineStr"/>
    </row>
    <row r="21">
      <c r="A21" s="6" t="inlineStr">
        <is>
          <t>🔫火力强化</t>
        </is>
      </c>
      <c r="B21" s="6" t="n">
        <v>18</v>
      </c>
      <c r="C21" s="7" t="inlineStr">
        <is>
          <t>伤害 ×1.2（即 +20%）</t>
        </is>
      </c>
      <c r="D21" s="6">
        <f>Config!I4*1.2^B21</f>
        <v/>
      </c>
      <c r="E21" s="6" t="inlineStr">
        <is>
          <t>-</t>
        </is>
      </c>
      <c r="F21" s="6" t="inlineStr">
        <is>
          <t>-</t>
        </is>
      </c>
      <c r="G21" s="6" t="inlineStr"/>
    </row>
    <row r="22">
      <c r="A22" s="6" t="inlineStr">
        <is>
          <t>🔫火力强化</t>
        </is>
      </c>
      <c r="B22" s="6" t="n">
        <v>19</v>
      </c>
      <c r="C22" s="7" t="inlineStr">
        <is>
          <t>伤害 ×1.2（即 +20%）</t>
        </is>
      </c>
      <c r="D22" s="6">
        <f>Config!I4*1.2^B22</f>
        <v/>
      </c>
      <c r="E22" s="6" t="inlineStr">
        <is>
          <t>-</t>
        </is>
      </c>
      <c r="F22" s="6" t="inlineStr">
        <is>
          <t>-</t>
        </is>
      </c>
      <c r="G22" s="6" t="inlineStr"/>
    </row>
    <row r="23">
      <c r="A23" s="6" t="inlineStr">
        <is>
          <t>🔫火力强化</t>
        </is>
      </c>
      <c r="B23" s="6" t="n">
        <v>20</v>
      </c>
      <c r="C23" s="7" t="inlineStr">
        <is>
          <t>伤害 ×1.2（即 +20%）</t>
        </is>
      </c>
      <c r="D23" s="6">
        <f>Config!I4*1.2^B23</f>
        <v/>
      </c>
      <c r="E23" s="6" t="inlineStr">
        <is>
          <t>-</t>
        </is>
      </c>
      <c r="F23" s="6" t="inlineStr">
        <is>
          <t>-</t>
        </is>
      </c>
      <c r="G23" s="6" t="inlineStr"/>
    </row>
    <row r="24">
      <c r="A24" s="6" t="inlineStr">
        <is>
          <t>🔫火力强化</t>
        </is>
      </c>
      <c r="B24" s="6" t="n">
        <v>21</v>
      </c>
      <c r="C24" s="7" t="inlineStr">
        <is>
          <t>伤害 ×1.2（即 +20%）</t>
        </is>
      </c>
      <c r="D24" s="6">
        <f>Config!I4*1.2^B24</f>
        <v/>
      </c>
      <c r="E24" s="6" t="inlineStr">
        <is>
          <t>-</t>
        </is>
      </c>
      <c r="F24" s="6" t="inlineStr">
        <is>
          <t>-</t>
        </is>
      </c>
      <c r="G24" s="6" t="inlineStr"/>
    </row>
    <row r="25">
      <c r="A25" s="6" t="inlineStr">
        <is>
          <t>🔫火力强化</t>
        </is>
      </c>
      <c r="B25" s="6" t="n">
        <v>22</v>
      </c>
      <c r="C25" s="7" t="inlineStr">
        <is>
          <t>伤害 ×1.2（即 +20%）</t>
        </is>
      </c>
      <c r="D25" s="6">
        <f>Config!I4*1.2^B25</f>
        <v/>
      </c>
      <c r="E25" s="6" t="inlineStr">
        <is>
          <t>-</t>
        </is>
      </c>
      <c r="F25" s="6" t="inlineStr">
        <is>
          <t>-</t>
        </is>
      </c>
      <c r="G25" s="6" t="inlineStr"/>
    </row>
    <row r="26">
      <c r="A26" s="6" t="inlineStr">
        <is>
          <t>🔫火力强化</t>
        </is>
      </c>
      <c r="B26" s="6" t="n">
        <v>23</v>
      </c>
      <c r="C26" s="7" t="inlineStr">
        <is>
          <t>伤害 ×1.2（即 +20%）</t>
        </is>
      </c>
      <c r="D26" s="6">
        <f>Config!I4*1.2^B26</f>
        <v/>
      </c>
      <c r="E26" s="6" t="inlineStr">
        <is>
          <t>-</t>
        </is>
      </c>
      <c r="F26" s="6" t="inlineStr">
        <is>
          <t>-</t>
        </is>
      </c>
      <c r="G26" s="6" t="inlineStr"/>
    </row>
    <row r="27">
      <c r="A27" s="6" t="inlineStr">
        <is>
          <t>🔫火力强化</t>
        </is>
      </c>
      <c r="B27" s="6" t="n">
        <v>24</v>
      </c>
      <c r="C27" s="7" t="inlineStr">
        <is>
          <t>伤害 ×1.2（即 +20%）</t>
        </is>
      </c>
      <c r="D27" s="6">
        <f>Config!I4*1.2^B27</f>
        <v/>
      </c>
      <c r="E27" s="6" t="inlineStr">
        <is>
          <t>-</t>
        </is>
      </c>
      <c r="F27" s="6" t="inlineStr">
        <is>
          <t>-</t>
        </is>
      </c>
      <c r="G27" s="6" t="inlineStr"/>
    </row>
    <row r="28">
      <c r="A28" s="6" t="inlineStr">
        <is>
          <t>🔫火力强化</t>
        </is>
      </c>
      <c r="B28" s="6" t="n">
        <v>25</v>
      </c>
      <c r="C28" s="7" t="inlineStr">
        <is>
          <t>伤害 ×1.2（即 +20%）</t>
        </is>
      </c>
      <c r="D28" s="6">
        <f>Config!I4*1.2^B28</f>
        <v/>
      </c>
      <c r="E28" s="6" t="inlineStr">
        <is>
          <t>-</t>
        </is>
      </c>
      <c r="F28" s="6" t="inlineStr">
        <is>
          <t>-</t>
        </is>
      </c>
      <c r="G28" s="6" t="inlineStr"/>
    </row>
    <row r="29">
      <c r="A29" s="6" t="inlineStr">
        <is>
          <t>🔫火力强化</t>
        </is>
      </c>
      <c r="B29" s="6" t="n">
        <v>26</v>
      </c>
      <c r="C29" s="7" t="inlineStr">
        <is>
          <t>伤害 ×1.2（即 +20%）</t>
        </is>
      </c>
      <c r="D29" s="6">
        <f>Config!I4*1.2^B29</f>
        <v/>
      </c>
      <c r="E29" s="6" t="inlineStr">
        <is>
          <t>-</t>
        </is>
      </c>
      <c r="F29" s="6" t="inlineStr">
        <is>
          <t>-</t>
        </is>
      </c>
      <c r="G29" s="6" t="inlineStr"/>
    </row>
    <row r="30">
      <c r="A30" s="6" t="inlineStr">
        <is>
          <t>🔫火力强化</t>
        </is>
      </c>
      <c r="B30" s="6" t="n">
        <v>27</v>
      </c>
      <c r="C30" s="7" t="inlineStr">
        <is>
          <t>伤害 ×1.2（即 +20%）</t>
        </is>
      </c>
      <c r="D30" s="6">
        <f>Config!I4*1.2^B30</f>
        <v/>
      </c>
      <c r="E30" s="6" t="inlineStr">
        <is>
          <t>-</t>
        </is>
      </c>
      <c r="F30" s="6" t="inlineStr">
        <is>
          <t>-</t>
        </is>
      </c>
      <c r="G30" s="6" t="inlineStr"/>
    </row>
    <row r="31">
      <c r="A31" s="6" t="inlineStr">
        <is>
          <t>🔫火力强化</t>
        </is>
      </c>
      <c r="B31" s="6" t="n">
        <v>28</v>
      </c>
      <c r="C31" s="7" t="inlineStr">
        <is>
          <t>伤害 ×1.2（即 +20%）</t>
        </is>
      </c>
      <c r="D31" s="6">
        <f>Config!I4*1.2^B31</f>
        <v/>
      </c>
      <c r="E31" s="6" t="inlineStr">
        <is>
          <t>-</t>
        </is>
      </c>
      <c r="F31" s="6" t="inlineStr">
        <is>
          <t>-</t>
        </is>
      </c>
      <c r="G31" s="6" t="inlineStr"/>
    </row>
    <row r="32">
      <c r="A32" s="6" t="inlineStr">
        <is>
          <t>🔫火力强化</t>
        </is>
      </c>
      <c r="B32" s="6" t="n">
        <v>29</v>
      </c>
      <c r="C32" s="7" t="inlineStr">
        <is>
          <t>伤害 ×1.2（即 +20%）</t>
        </is>
      </c>
      <c r="D32" s="6">
        <f>Config!I4*1.2^B32</f>
        <v/>
      </c>
      <c r="E32" s="6" t="inlineStr">
        <is>
          <t>-</t>
        </is>
      </c>
      <c r="F32" s="6" t="inlineStr">
        <is>
          <t>-</t>
        </is>
      </c>
      <c r="G32" s="6" t="inlineStr"/>
    </row>
    <row r="33">
      <c r="A33" s="6" t="inlineStr">
        <is>
          <t>🔫火力强化</t>
        </is>
      </c>
      <c r="B33" s="6" t="n">
        <v>30</v>
      </c>
      <c r="C33" s="7" t="inlineStr">
        <is>
          <t>伤害 ×1.2（即 +20%）</t>
        </is>
      </c>
      <c r="D33" s="6">
        <f>Config!I4*1.2^B33</f>
        <v/>
      </c>
      <c r="E33" s="6" t="inlineStr">
        <is>
          <t>-</t>
        </is>
      </c>
      <c r="F33" s="6" t="inlineStr">
        <is>
          <t>-</t>
        </is>
      </c>
      <c r="G33" s="6" t="inlineStr"/>
    </row>
    <row r="34">
      <c r="A34" s="6" t="inlineStr">
        <is>
          <t>🔫火力强化</t>
        </is>
      </c>
      <c r="B34" s="6" t="n">
        <v>31</v>
      </c>
      <c r="C34" s="7" t="inlineStr">
        <is>
          <t>伤害 ×1.2（即 +20%）</t>
        </is>
      </c>
      <c r="D34" s="6">
        <f>Config!I4*1.2^B34</f>
        <v/>
      </c>
      <c r="E34" s="6" t="inlineStr">
        <is>
          <t>-</t>
        </is>
      </c>
      <c r="F34" s="6" t="inlineStr">
        <is>
          <t>-</t>
        </is>
      </c>
      <c r="G34" s="6" t="inlineStr"/>
    </row>
    <row r="35">
      <c r="A35" s="6" t="inlineStr">
        <is>
          <t>🔫火力强化</t>
        </is>
      </c>
      <c r="B35" s="6" t="n">
        <v>32</v>
      </c>
      <c r="C35" s="7" t="inlineStr">
        <is>
          <t>伤害 ×1.2（即 +20%）</t>
        </is>
      </c>
      <c r="D35" s="6">
        <f>Config!I4*1.2^B35</f>
        <v/>
      </c>
      <c r="E35" s="6" t="inlineStr">
        <is>
          <t>-</t>
        </is>
      </c>
      <c r="F35" s="6" t="inlineStr">
        <is>
          <t>-</t>
        </is>
      </c>
      <c r="G35" s="6" t="inlineStr"/>
    </row>
    <row r="36">
      <c r="A36" s="6" t="inlineStr">
        <is>
          <t>🔫火力强化</t>
        </is>
      </c>
      <c r="B36" s="6" t="n">
        <v>33</v>
      </c>
      <c r="C36" s="7" t="inlineStr">
        <is>
          <t>伤害 ×1.2（即 +20%）</t>
        </is>
      </c>
      <c r="D36" s="6">
        <f>Config!I4*1.2^B36</f>
        <v/>
      </c>
      <c r="E36" s="6" t="inlineStr">
        <is>
          <t>-</t>
        </is>
      </c>
      <c r="F36" s="6" t="inlineStr">
        <is>
          <t>-</t>
        </is>
      </c>
      <c r="G36" s="6" t="inlineStr"/>
    </row>
    <row r="37">
      <c r="A37" s="6" t="inlineStr">
        <is>
          <t>🔫火力强化</t>
        </is>
      </c>
      <c r="B37" s="6" t="n">
        <v>34</v>
      </c>
      <c r="C37" s="7" t="inlineStr">
        <is>
          <t>伤害 ×1.2（即 +20%）</t>
        </is>
      </c>
      <c r="D37" s="6">
        <f>Config!I4*1.2^B37</f>
        <v/>
      </c>
      <c r="E37" s="6" t="inlineStr">
        <is>
          <t>-</t>
        </is>
      </c>
      <c r="F37" s="6" t="inlineStr">
        <is>
          <t>-</t>
        </is>
      </c>
      <c r="G37" s="6" t="inlineStr"/>
    </row>
    <row r="38">
      <c r="A38" s="6" t="inlineStr">
        <is>
          <t>🔫火力强化</t>
        </is>
      </c>
      <c r="B38" s="6" t="n">
        <v>35</v>
      </c>
      <c r="C38" s="7" t="inlineStr">
        <is>
          <t>伤害 ×1.2（即 +20%）</t>
        </is>
      </c>
      <c r="D38" s="6">
        <f>Config!I4*1.2^B38</f>
        <v/>
      </c>
      <c r="E38" s="6" t="inlineStr">
        <is>
          <t>-</t>
        </is>
      </c>
      <c r="F38" s="6" t="inlineStr">
        <is>
          <t>-</t>
        </is>
      </c>
      <c r="G38" s="6" t="inlineStr"/>
    </row>
    <row r="39">
      <c r="A39" s="6" t="inlineStr">
        <is>
          <t>🔫火力强化</t>
        </is>
      </c>
      <c r="B39" s="6" t="n">
        <v>36</v>
      </c>
      <c r="C39" s="7" t="inlineStr">
        <is>
          <t>伤害 ×1.2（即 +20%）</t>
        </is>
      </c>
      <c r="D39" s="6">
        <f>Config!I4*1.2^B39</f>
        <v/>
      </c>
      <c r="E39" s="6" t="inlineStr">
        <is>
          <t>-</t>
        </is>
      </c>
      <c r="F39" s="6" t="inlineStr">
        <is>
          <t>-</t>
        </is>
      </c>
      <c r="G39" s="6" t="inlineStr"/>
    </row>
    <row r="40">
      <c r="A40" s="6" t="inlineStr">
        <is>
          <t>🔫火力强化</t>
        </is>
      </c>
      <c r="B40" s="6" t="n">
        <v>37</v>
      </c>
      <c r="C40" s="7" t="inlineStr">
        <is>
          <t>伤害 ×1.2（即 +20%）</t>
        </is>
      </c>
      <c r="D40" s="6">
        <f>Config!I4*1.2^B40</f>
        <v/>
      </c>
      <c r="E40" s="6" t="inlineStr">
        <is>
          <t>-</t>
        </is>
      </c>
      <c r="F40" s="6" t="inlineStr">
        <is>
          <t>-</t>
        </is>
      </c>
      <c r="G40" s="6" t="inlineStr"/>
    </row>
    <row r="41">
      <c r="A41" s="6" t="inlineStr">
        <is>
          <t>🔫火力强化</t>
        </is>
      </c>
      <c r="B41" s="6" t="n">
        <v>38</v>
      </c>
      <c r="C41" s="7" t="inlineStr">
        <is>
          <t>伤害 ×1.2（即 +20%）</t>
        </is>
      </c>
      <c r="D41" s="6">
        <f>Config!I4*1.2^B41</f>
        <v/>
      </c>
      <c r="E41" s="6" t="inlineStr">
        <is>
          <t>-</t>
        </is>
      </c>
      <c r="F41" s="6" t="inlineStr">
        <is>
          <t>-</t>
        </is>
      </c>
      <c r="G41" s="6" t="inlineStr"/>
    </row>
    <row r="42">
      <c r="A42" s="6" t="inlineStr">
        <is>
          <t>🔫火力强化</t>
        </is>
      </c>
      <c r="B42" s="6" t="n">
        <v>39</v>
      </c>
      <c r="C42" s="7" t="inlineStr">
        <is>
          <t>伤害 ×1.2（即 +20%）</t>
        </is>
      </c>
      <c r="D42" s="6">
        <f>Config!I4*1.2^B42</f>
        <v/>
      </c>
      <c r="E42" s="6" t="inlineStr">
        <is>
          <t>-</t>
        </is>
      </c>
      <c r="F42" s="6" t="inlineStr">
        <is>
          <t>-</t>
        </is>
      </c>
      <c r="G42" s="6" t="inlineStr"/>
    </row>
    <row r="43">
      <c r="A43" s="6" t="inlineStr">
        <is>
          <t>🔫火力强化</t>
        </is>
      </c>
      <c r="B43" s="6" t="n">
        <v>40</v>
      </c>
      <c r="C43" s="7" t="inlineStr">
        <is>
          <t>伤害 ×1.2（即 +20%）</t>
        </is>
      </c>
      <c r="D43" s="6">
        <f>Config!I4*1.2^B43</f>
        <v/>
      </c>
      <c r="E43" s="6" t="inlineStr">
        <is>
          <t>-</t>
        </is>
      </c>
      <c r="F43" s="6" t="inlineStr">
        <is>
          <t>-</t>
        </is>
      </c>
      <c r="G43" s="6" t="inlineStr"/>
    </row>
    <row r="44">
      <c r="A44" s="6" t="inlineStr">
        <is>
          <t>🔫火力强化</t>
        </is>
      </c>
      <c r="B44" s="6" t="n">
        <v>41</v>
      </c>
      <c r="C44" s="7" t="inlineStr">
        <is>
          <t>伤害 ×1.2（即 +20%）</t>
        </is>
      </c>
      <c r="D44" s="6">
        <f>Config!I4*1.2^B44</f>
        <v/>
      </c>
      <c r="E44" s="6" t="inlineStr">
        <is>
          <t>-</t>
        </is>
      </c>
      <c r="F44" s="6" t="inlineStr">
        <is>
          <t>-</t>
        </is>
      </c>
      <c r="G44" s="6" t="inlineStr"/>
    </row>
    <row r="45">
      <c r="A45" s="6" t="inlineStr">
        <is>
          <t>🔫火力强化</t>
        </is>
      </c>
      <c r="B45" s="6" t="n">
        <v>42</v>
      </c>
      <c r="C45" s="7" t="inlineStr">
        <is>
          <t>伤害 ×1.2（即 +20%）</t>
        </is>
      </c>
      <c r="D45" s="6">
        <f>Config!I4*1.2^B45</f>
        <v/>
      </c>
      <c r="E45" s="6" t="inlineStr">
        <is>
          <t>-</t>
        </is>
      </c>
      <c r="F45" s="6" t="inlineStr">
        <is>
          <t>-</t>
        </is>
      </c>
      <c r="G45" s="6" t="inlineStr"/>
    </row>
    <row r="46">
      <c r="A46" s="6" t="inlineStr">
        <is>
          <t>🔫火力强化</t>
        </is>
      </c>
      <c r="B46" s="6" t="n">
        <v>43</v>
      </c>
      <c r="C46" s="7" t="inlineStr">
        <is>
          <t>伤害 ×1.2（即 +20%）</t>
        </is>
      </c>
      <c r="D46" s="6">
        <f>Config!I4*1.2^B46</f>
        <v/>
      </c>
      <c r="E46" s="6" t="inlineStr">
        <is>
          <t>-</t>
        </is>
      </c>
      <c r="F46" s="6" t="inlineStr">
        <is>
          <t>-</t>
        </is>
      </c>
      <c r="G46" s="6" t="inlineStr"/>
    </row>
    <row r="47">
      <c r="A47" s="6" t="inlineStr">
        <is>
          <t>🔫火力强化</t>
        </is>
      </c>
      <c r="B47" s="6" t="n">
        <v>44</v>
      </c>
      <c r="C47" s="7" t="inlineStr">
        <is>
          <t>伤害 ×1.2（即 +20%）</t>
        </is>
      </c>
      <c r="D47" s="6">
        <f>Config!I4*1.2^B47</f>
        <v/>
      </c>
      <c r="E47" s="6" t="inlineStr">
        <is>
          <t>-</t>
        </is>
      </c>
      <c r="F47" s="6" t="inlineStr">
        <is>
          <t>-</t>
        </is>
      </c>
      <c r="G47" s="6" t="inlineStr"/>
    </row>
    <row r="48">
      <c r="A48" s="6" t="inlineStr">
        <is>
          <t>🔫火力强化</t>
        </is>
      </c>
      <c r="B48" s="6" t="n">
        <v>45</v>
      </c>
      <c r="C48" s="7" t="inlineStr">
        <is>
          <t>伤害 ×1.2（即 +20%）</t>
        </is>
      </c>
      <c r="D48" s="6">
        <f>Config!I4*1.2^B48</f>
        <v/>
      </c>
      <c r="E48" s="6" t="inlineStr">
        <is>
          <t>-</t>
        </is>
      </c>
      <c r="F48" s="6" t="inlineStr">
        <is>
          <t>-</t>
        </is>
      </c>
      <c r="G48" s="6" t="inlineStr"/>
    </row>
    <row r="49">
      <c r="A49" s="6" t="inlineStr">
        <is>
          <t>🔫火力强化</t>
        </is>
      </c>
      <c r="B49" s="6" t="n">
        <v>46</v>
      </c>
      <c r="C49" s="7" t="inlineStr">
        <is>
          <t>伤害 ×1.2（即 +20%）</t>
        </is>
      </c>
      <c r="D49" s="6">
        <f>Config!I4*1.2^B49</f>
        <v/>
      </c>
      <c r="E49" s="6" t="inlineStr">
        <is>
          <t>-</t>
        </is>
      </c>
      <c r="F49" s="6" t="inlineStr">
        <is>
          <t>-</t>
        </is>
      </c>
      <c r="G49" s="6" t="inlineStr"/>
    </row>
    <row r="50">
      <c r="A50" s="6" t="inlineStr">
        <is>
          <t>🔫火力强化</t>
        </is>
      </c>
      <c r="B50" s="6" t="n">
        <v>47</v>
      </c>
      <c r="C50" s="7" t="inlineStr">
        <is>
          <t>伤害 ×1.2（即 +20%）</t>
        </is>
      </c>
      <c r="D50" s="6">
        <f>Config!I4*1.2^B50</f>
        <v/>
      </c>
      <c r="E50" s="6" t="inlineStr">
        <is>
          <t>-</t>
        </is>
      </c>
      <c r="F50" s="6" t="inlineStr">
        <is>
          <t>-</t>
        </is>
      </c>
      <c r="G50" s="6" t="inlineStr"/>
    </row>
    <row r="51">
      <c r="A51" s="6" t="inlineStr">
        <is>
          <t>🔫火力强化</t>
        </is>
      </c>
      <c r="B51" s="6" t="n">
        <v>48</v>
      </c>
      <c r="C51" s="7" t="inlineStr">
        <is>
          <t>伤害 ×1.2（即 +20%）</t>
        </is>
      </c>
      <c r="D51" s="6">
        <f>Config!I4*1.2^B51</f>
        <v/>
      </c>
      <c r="E51" s="6" t="inlineStr">
        <is>
          <t>-</t>
        </is>
      </c>
      <c r="F51" s="6" t="inlineStr">
        <is>
          <t>-</t>
        </is>
      </c>
      <c r="G51" s="6" t="inlineStr"/>
    </row>
    <row r="52">
      <c r="A52" s="6" t="inlineStr">
        <is>
          <t>🔫火力强化</t>
        </is>
      </c>
      <c r="B52" s="6" t="n">
        <v>49</v>
      </c>
      <c r="C52" s="7" t="inlineStr">
        <is>
          <t>伤害 ×1.2（即 +20%）</t>
        </is>
      </c>
      <c r="D52" s="6">
        <f>Config!I4*1.2^B52</f>
        <v/>
      </c>
      <c r="E52" s="6" t="inlineStr">
        <is>
          <t>-</t>
        </is>
      </c>
      <c r="F52" s="6" t="inlineStr">
        <is>
          <t>-</t>
        </is>
      </c>
      <c r="G52" s="6" t="inlineStr"/>
    </row>
    <row r="53">
      <c r="A53" s="6" t="inlineStr">
        <is>
          <t>🔫火力强化</t>
        </is>
      </c>
      <c r="B53" s="6" t="n">
        <v>50</v>
      </c>
      <c r="C53" s="7" t="inlineStr">
        <is>
          <t>伤害 ×1.2（即 +20%）</t>
        </is>
      </c>
      <c r="D53" s="6">
        <f>Config!I4*1.2^B53</f>
        <v/>
      </c>
      <c r="E53" s="6" t="inlineStr">
        <is>
          <t>-</t>
        </is>
      </c>
      <c r="F53" s="6" t="inlineStr">
        <is>
          <t>-</t>
        </is>
      </c>
      <c r="G53" s="6" t="inlineStr"/>
    </row>
    <row r="54">
      <c r="A54" s="6" t="inlineStr">
        <is>
          <t>🔫火力强化</t>
        </is>
      </c>
      <c r="B54" s="6" t="n">
        <v>51</v>
      </c>
      <c r="C54" s="7" t="inlineStr">
        <is>
          <t>伤害 ×1.2（即 +20%）</t>
        </is>
      </c>
      <c r="D54" s="6">
        <f>Config!I4*1.2^B54</f>
        <v/>
      </c>
      <c r="E54" s="6" t="inlineStr">
        <is>
          <t>-</t>
        </is>
      </c>
      <c r="F54" s="6" t="inlineStr">
        <is>
          <t>-</t>
        </is>
      </c>
      <c r="G54" s="6" t="inlineStr"/>
    </row>
    <row r="55">
      <c r="A55" s="6" t="inlineStr">
        <is>
          <t>🔫火力强化</t>
        </is>
      </c>
      <c r="B55" s="6" t="n">
        <v>52</v>
      </c>
      <c r="C55" s="7" t="inlineStr">
        <is>
          <t>伤害 ×1.2（即 +20%）</t>
        </is>
      </c>
      <c r="D55" s="6">
        <f>Config!I4*1.2^B55</f>
        <v/>
      </c>
      <c r="E55" s="6" t="inlineStr">
        <is>
          <t>-</t>
        </is>
      </c>
      <c r="F55" s="6" t="inlineStr">
        <is>
          <t>-</t>
        </is>
      </c>
      <c r="G55" s="6" t="inlineStr"/>
    </row>
    <row r="56">
      <c r="A56" s="6" t="inlineStr">
        <is>
          <t>🔫火力强化</t>
        </is>
      </c>
      <c r="B56" s="6" t="n">
        <v>53</v>
      </c>
      <c r="C56" s="7" t="inlineStr">
        <is>
          <t>伤害 ×1.2（即 +20%）</t>
        </is>
      </c>
      <c r="D56" s="6">
        <f>Config!I4*1.2^B56</f>
        <v/>
      </c>
      <c r="E56" s="6" t="inlineStr">
        <is>
          <t>-</t>
        </is>
      </c>
      <c r="F56" s="6" t="inlineStr">
        <is>
          <t>-</t>
        </is>
      </c>
      <c r="G56" s="6" t="inlineStr"/>
    </row>
    <row r="57">
      <c r="A57" s="6" t="inlineStr">
        <is>
          <t>🔫火力强化</t>
        </is>
      </c>
      <c r="B57" s="6" t="n">
        <v>54</v>
      </c>
      <c r="C57" s="7" t="inlineStr">
        <is>
          <t>伤害 ×1.2（即 +20%）</t>
        </is>
      </c>
      <c r="D57" s="6">
        <f>Config!I4*1.2^B57</f>
        <v/>
      </c>
      <c r="E57" s="6" t="inlineStr">
        <is>
          <t>-</t>
        </is>
      </c>
      <c r="F57" s="6" t="inlineStr">
        <is>
          <t>-</t>
        </is>
      </c>
      <c r="G57" s="6" t="inlineStr"/>
    </row>
    <row r="58">
      <c r="A58" s="6" t="inlineStr">
        <is>
          <t>🔫火力强化</t>
        </is>
      </c>
      <c r="B58" s="6" t="n">
        <v>55</v>
      </c>
      <c r="C58" s="7" t="inlineStr">
        <is>
          <t>伤害 ×1.2（即 +20%）</t>
        </is>
      </c>
      <c r="D58" s="6">
        <f>Config!I4*1.2^B58</f>
        <v/>
      </c>
      <c r="E58" s="6" t="inlineStr">
        <is>
          <t>-</t>
        </is>
      </c>
      <c r="F58" s="6" t="inlineStr">
        <is>
          <t>-</t>
        </is>
      </c>
      <c r="G58" s="6" t="inlineStr"/>
    </row>
    <row r="59">
      <c r="A59" s="6" t="inlineStr">
        <is>
          <t>🔫火力强化</t>
        </is>
      </c>
      <c r="B59" s="6" t="n">
        <v>56</v>
      </c>
      <c r="C59" s="7" t="inlineStr">
        <is>
          <t>伤害 ×1.2（即 +20%）</t>
        </is>
      </c>
      <c r="D59" s="6">
        <f>Config!I4*1.2^B59</f>
        <v/>
      </c>
      <c r="E59" s="6" t="inlineStr">
        <is>
          <t>-</t>
        </is>
      </c>
      <c r="F59" s="6" t="inlineStr">
        <is>
          <t>-</t>
        </is>
      </c>
      <c r="G59" s="6" t="inlineStr"/>
    </row>
    <row r="60">
      <c r="A60" s="6" t="inlineStr">
        <is>
          <t>🔫火力强化</t>
        </is>
      </c>
      <c r="B60" s="6" t="n">
        <v>57</v>
      </c>
      <c r="C60" s="7" t="inlineStr">
        <is>
          <t>伤害 ×1.2（即 +20%）</t>
        </is>
      </c>
      <c r="D60" s="6">
        <f>Config!I4*1.2^B60</f>
        <v/>
      </c>
      <c r="E60" s="6" t="inlineStr">
        <is>
          <t>-</t>
        </is>
      </c>
      <c r="F60" s="6" t="inlineStr">
        <is>
          <t>-</t>
        </is>
      </c>
      <c r="G60" s="6" t="inlineStr"/>
    </row>
    <row r="61">
      <c r="A61" s="6" t="inlineStr">
        <is>
          <t>🔫火力强化</t>
        </is>
      </c>
      <c r="B61" s="6" t="n">
        <v>58</v>
      </c>
      <c r="C61" s="7" t="inlineStr">
        <is>
          <t>伤害 ×1.2（即 +20%）</t>
        </is>
      </c>
      <c r="D61" s="6">
        <f>Config!I4*1.2^B61</f>
        <v/>
      </c>
      <c r="E61" s="6" t="inlineStr">
        <is>
          <t>-</t>
        </is>
      </c>
      <c r="F61" s="6" t="inlineStr">
        <is>
          <t>-</t>
        </is>
      </c>
      <c r="G61" s="6" t="inlineStr"/>
    </row>
    <row r="62">
      <c r="A62" s="6" t="inlineStr">
        <is>
          <t>🔫火力强化</t>
        </is>
      </c>
      <c r="B62" s="6" t="n">
        <v>59</v>
      </c>
      <c r="C62" s="7" t="inlineStr">
        <is>
          <t>伤害 ×1.2（即 +20%）</t>
        </is>
      </c>
      <c r="D62" s="6">
        <f>Config!I4*1.2^B62</f>
        <v/>
      </c>
      <c r="E62" s="6" t="inlineStr">
        <is>
          <t>-</t>
        </is>
      </c>
      <c r="F62" s="6" t="inlineStr">
        <is>
          <t>-</t>
        </is>
      </c>
      <c r="G62" s="6" t="inlineStr"/>
    </row>
    <row r="63">
      <c r="A63" s="6" t="inlineStr">
        <is>
          <t>🔫火力强化</t>
        </is>
      </c>
      <c r="B63" s="6" t="n">
        <v>60</v>
      </c>
      <c r="C63" s="7" t="inlineStr">
        <is>
          <t>伤害 ×1.2（即 +20%）</t>
        </is>
      </c>
      <c r="D63" s="6">
        <f>Config!I4*1.2^B63</f>
        <v/>
      </c>
      <c r="E63" s="6" t="inlineStr">
        <is>
          <t>-</t>
        </is>
      </c>
      <c r="F63" s="6" t="inlineStr">
        <is>
          <t>-</t>
        </is>
      </c>
      <c r="G63" s="6" t="inlineStr"/>
    </row>
    <row r="64">
      <c r="A64" s="6" t="inlineStr">
        <is>
          <t>🔫火力强化</t>
        </is>
      </c>
      <c r="B64" s="6" t="n">
        <v>61</v>
      </c>
      <c r="C64" s="7" t="inlineStr">
        <is>
          <t>伤害 ×1.2（即 +20%）</t>
        </is>
      </c>
      <c r="D64" s="6">
        <f>Config!I4*1.2^B64</f>
        <v/>
      </c>
      <c r="E64" s="6" t="inlineStr">
        <is>
          <t>-</t>
        </is>
      </c>
      <c r="F64" s="6" t="inlineStr">
        <is>
          <t>-</t>
        </is>
      </c>
      <c r="G64" s="6" t="inlineStr"/>
    </row>
    <row r="65">
      <c r="A65" s="6" t="inlineStr">
        <is>
          <t>🔫火力强化</t>
        </is>
      </c>
      <c r="B65" s="6" t="n">
        <v>62</v>
      </c>
      <c r="C65" s="7" t="inlineStr">
        <is>
          <t>伤害 ×1.2（即 +20%）</t>
        </is>
      </c>
      <c r="D65" s="6">
        <f>Config!I4*1.2^B65</f>
        <v/>
      </c>
      <c r="E65" s="6" t="inlineStr">
        <is>
          <t>-</t>
        </is>
      </c>
      <c r="F65" s="6" t="inlineStr">
        <is>
          <t>-</t>
        </is>
      </c>
      <c r="G65" s="6" t="inlineStr"/>
    </row>
    <row r="66">
      <c r="A66" s="6" t="inlineStr">
        <is>
          <t>🔫火力强化</t>
        </is>
      </c>
      <c r="B66" s="6" t="n">
        <v>63</v>
      </c>
      <c r="C66" s="7" t="inlineStr">
        <is>
          <t>伤害 ×1.2（即 +20%）</t>
        </is>
      </c>
      <c r="D66" s="6">
        <f>Config!I4*1.2^B66</f>
        <v/>
      </c>
      <c r="E66" s="6" t="inlineStr">
        <is>
          <t>-</t>
        </is>
      </c>
      <c r="F66" s="6" t="inlineStr">
        <is>
          <t>-</t>
        </is>
      </c>
      <c r="G66" s="6" t="inlineStr"/>
    </row>
    <row r="67">
      <c r="A67" s="6" t="inlineStr">
        <is>
          <t>🔫火力强化</t>
        </is>
      </c>
      <c r="B67" s="6" t="n">
        <v>64</v>
      </c>
      <c r="C67" s="7" t="inlineStr">
        <is>
          <t>伤害 ×1.2（即 +20%）</t>
        </is>
      </c>
      <c r="D67" s="6">
        <f>Config!I4*1.2^B67</f>
        <v/>
      </c>
      <c r="E67" s="6" t="inlineStr">
        <is>
          <t>-</t>
        </is>
      </c>
      <c r="F67" s="6" t="inlineStr">
        <is>
          <t>-</t>
        </is>
      </c>
      <c r="G67" s="6" t="inlineStr"/>
    </row>
    <row r="68">
      <c r="A68" s="6" t="inlineStr">
        <is>
          <t>🔫火力强化</t>
        </is>
      </c>
      <c r="B68" s="6" t="n">
        <v>65</v>
      </c>
      <c r="C68" s="7" t="inlineStr">
        <is>
          <t>伤害 ×1.2（即 +20%）</t>
        </is>
      </c>
      <c r="D68" s="6">
        <f>Config!I4*1.2^B68</f>
        <v/>
      </c>
      <c r="E68" s="6" t="inlineStr">
        <is>
          <t>-</t>
        </is>
      </c>
      <c r="F68" s="6" t="inlineStr">
        <is>
          <t>-</t>
        </is>
      </c>
      <c r="G68" s="6" t="inlineStr"/>
    </row>
    <row r="69">
      <c r="A69" s="6" t="inlineStr">
        <is>
          <t>🔫火力强化</t>
        </is>
      </c>
      <c r="B69" s="6" t="n">
        <v>66</v>
      </c>
      <c r="C69" s="7" t="inlineStr">
        <is>
          <t>伤害 ×1.2（即 +20%）</t>
        </is>
      </c>
      <c r="D69" s="6">
        <f>Config!I4*1.2^B69</f>
        <v/>
      </c>
      <c r="E69" s="6" t="inlineStr">
        <is>
          <t>-</t>
        </is>
      </c>
      <c r="F69" s="6" t="inlineStr">
        <is>
          <t>-</t>
        </is>
      </c>
      <c r="G69" s="6" t="inlineStr"/>
    </row>
    <row r="70">
      <c r="A70" s="6" t="inlineStr">
        <is>
          <t>🔫火力强化</t>
        </is>
      </c>
      <c r="B70" s="6" t="n">
        <v>67</v>
      </c>
      <c r="C70" s="7" t="inlineStr">
        <is>
          <t>伤害 ×1.2（即 +20%）</t>
        </is>
      </c>
      <c r="D70" s="6">
        <f>Config!I4*1.2^B70</f>
        <v/>
      </c>
      <c r="E70" s="6" t="inlineStr">
        <is>
          <t>-</t>
        </is>
      </c>
      <c r="F70" s="6" t="inlineStr">
        <is>
          <t>-</t>
        </is>
      </c>
      <c r="G70" s="6" t="inlineStr"/>
    </row>
    <row r="71">
      <c r="A71" s="6" t="inlineStr">
        <is>
          <t>🔫火力强化</t>
        </is>
      </c>
      <c r="B71" s="6" t="n">
        <v>68</v>
      </c>
      <c r="C71" s="7" t="inlineStr">
        <is>
          <t>伤害 ×1.2（即 +20%）</t>
        </is>
      </c>
      <c r="D71" s="6">
        <f>Config!I4*1.2^B71</f>
        <v/>
      </c>
      <c r="E71" s="6" t="inlineStr">
        <is>
          <t>-</t>
        </is>
      </c>
      <c r="F71" s="6" t="inlineStr">
        <is>
          <t>-</t>
        </is>
      </c>
      <c r="G71" s="6" t="inlineStr"/>
    </row>
    <row r="72">
      <c r="A72" s="6" t="inlineStr">
        <is>
          <t>🔫火力强化</t>
        </is>
      </c>
      <c r="B72" s="6" t="n">
        <v>69</v>
      </c>
      <c r="C72" s="7" t="inlineStr">
        <is>
          <t>伤害 ×1.2（即 +20%）</t>
        </is>
      </c>
      <c r="D72" s="6">
        <f>Config!I4*1.2^B72</f>
        <v/>
      </c>
      <c r="E72" s="6" t="inlineStr">
        <is>
          <t>-</t>
        </is>
      </c>
      <c r="F72" s="6" t="inlineStr">
        <is>
          <t>-</t>
        </is>
      </c>
      <c r="G72" s="6" t="inlineStr"/>
    </row>
    <row r="73">
      <c r="A73" s="6" t="inlineStr">
        <is>
          <t>🔫火力强化</t>
        </is>
      </c>
      <c r="B73" s="6" t="n">
        <v>70</v>
      </c>
      <c r="C73" s="7" t="inlineStr">
        <is>
          <t>伤害 ×1.2（即 +20%）</t>
        </is>
      </c>
      <c r="D73" s="6">
        <f>Config!I4*1.2^B73</f>
        <v/>
      </c>
      <c r="E73" s="6" t="inlineStr">
        <is>
          <t>-</t>
        </is>
      </c>
      <c r="F73" s="6" t="inlineStr">
        <is>
          <t>-</t>
        </is>
      </c>
      <c r="G73" s="6" t="inlineStr"/>
    </row>
    <row r="74">
      <c r="A74" s="6" t="inlineStr">
        <is>
          <t>🔫火力强化</t>
        </is>
      </c>
      <c r="B74" s="6" t="n">
        <v>71</v>
      </c>
      <c r="C74" s="7" t="inlineStr">
        <is>
          <t>伤害 ×1.2（即 +20%）</t>
        </is>
      </c>
      <c r="D74" s="6">
        <f>Config!I4*1.2^B74</f>
        <v/>
      </c>
      <c r="E74" s="6" t="inlineStr">
        <is>
          <t>-</t>
        </is>
      </c>
      <c r="F74" s="6" t="inlineStr">
        <is>
          <t>-</t>
        </is>
      </c>
      <c r="G74" s="6" t="inlineStr"/>
    </row>
    <row r="75">
      <c r="A75" s="6" t="inlineStr">
        <is>
          <t>🔫火力强化</t>
        </is>
      </c>
      <c r="B75" s="6" t="n">
        <v>72</v>
      </c>
      <c r="C75" s="7" t="inlineStr">
        <is>
          <t>伤害 ×1.2（即 +20%）</t>
        </is>
      </c>
      <c r="D75" s="6">
        <f>Config!I4*1.2^B75</f>
        <v/>
      </c>
      <c r="E75" s="6" t="inlineStr">
        <is>
          <t>-</t>
        </is>
      </c>
      <c r="F75" s="6" t="inlineStr">
        <is>
          <t>-</t>
        </is>
      </c>
      <c r="G75" s="6" t="inlineStr"/>
    </row>
    <row r="76">
      <c r="A76" s="6" t="inlineStr">
        <is>
          <t>🔫火力强化</t>
        </is>
      </c>
      <c r="B76" s="6" t="n">
        <v>73</v>
      </c>
      <c r="C76" s="7" t="inlineStr">
        <is>
          <t>伤害 ×1.2（即 +20%）</t>
        </is>
      </c>
      <c r="D76" s="6">
        <f>Config!I4*1.2^B76</f>
        <v/>
      </c>
      <c r="E76" s="6" t="inlineStr">
        <is>
          <t>-</t>
        </is>
      </c>
      <c r="F76" s="6" t="inlineStr">
        <is>
          <t>-</t>
        </is>
      </c>
      <c r="G76" s="6" t="inlineStr"/>
    </row>
    <row r="77">
      <c r="A77" s="6" t="inlineStr">
        <is>
          <t>🔫火力强化</t>
        </is>
      </c>
      <c r="B77" s="6" t="n">
        <v>74</v>
      </c>
      <c r="C77" s="7" t="inlineStr">
        <is>
          <t>伤害 ×1.2（即 +20%）</t>
        </is>
      </c>
      <c r="D77" s="6">
        <f>Config!I4*1.2^B77</f>
        <v/>
      </c>
      <c r="E77" s="6" t="inlineStr">
        <is>
          <t>-</t>
        </is>
      </c>
      <c r="F77" s="6" t="inlineStr">
        <is>
          <t>-</t>
        </is>
      </c>
      <c r="G77" s="6" t="inlineStr"/>
    </row>
    <row r="78">
      <c r="A78" s="6" t="inlineStr">
        <is>
          <t>🔫火力强化</t>
        </is>
      </c>
      <c r="B78" s="6" t="n">
        <v>75</v>
      </c>
      <c r="C78" s="7" t="inlineStr">
        <is>
          <t>伤害 ×1.2（即 +20%）</t>
        </is>
      </c>
      <c r="D78" s="6">
        <f>Config!I4*1.2^B78</f>
        <v/>
      </c>
      <c r="E78" s="6" t="inlineStr">
        <is>
          <t>-</t>
        </is>
      </c>
      <c r="F78" s="6" t="inlineStr">
        <is>
          <t>-</t>
        </is>
      </c>
      <c r="G78" s="6" t="inlineStr"/>
    </row>
    <row r="79">
      <c r="A79" s="6" t="inlineStr">
        <is>
          <t>🔫火力强化</t>
        </is>
      </c>
      <c r="B79" s="6" t="n">
        <v>76</v>
      </c>
      <c r="C79" s="7" t="inlineStr">
        <is>
          <t>伤害 ×1.2（即 +20%）</t>
        </is>
      </c>
      <c r="D79" s="6">
        <f>Config!I4*1.2^B79</f>
        <v/>
      </c>
      <c r="E79" s="6" t="inlineStr">
        <is>
          <t>-</t>
        </is>
      </c>
      <c r="F79" s="6" t="inlineStr">
        <is>
          <t>-</t>
        </is>
      </c>
      <c r="G79" s="6" t="inlineStr"/>
    </row>
    <row r="80">
      <c r="A80" s="6" t="inlineStr">
        <is>
          <t>🔫火力强化</t>
        </is>
      </c>
      <c r="B80" s="6" t="n">
        <v>77</v>
      </c>
      <c r="C80" s="7" t="inlineStr">
        <is>
          <t>伤害 ×1.2（即 +20%）</t>
        </is>
      </c>
      <c r="D80" s="6">
        <f>Config!I4*1.2^B80</f>
        <v/>
      </c>
      <c r="E80" s="6" t="inlineStr">
        <is>
          <t>-</t>
        </is>
      </c>
      <c r="F80" s="6" t="inlineStr">
        <is>
          <t>-</t>
        </is>
      </c>
      <c r="G80" s="6" t="inlineStr"/>
    </row>
    <row r="81">
      <c r="A81" s="6" t="inlineStr">
        <is>
          <t>🔫火力强化</t>
        </is>
      </c>
      <c r="B81" s="6" t="n">
        <v>78</v>
      </c>
      <c r="C81" s="7" t="inlineStr">
        <is>
          <t>伤害 ×1.2（即 +20%）</t>
        </is>
      </c>
      <c r="D81" s="6">
        <f>Config!I4*1.2^B81</f>
        <v/>
      </c>
      <c r="E81" s="6" t="inlineStr">
        <is>
          <t>-</t>
        </is>
      </c>
      <c r="F81" s="6" t="inlineStr">
        <is>
          <t>-</t>
        </is>
      </c>
      <c r="G81" s="6" t="inlineStr"/>
    </row>
    <row r="82">
      <c r="A82" s="6" t="inlineStr">
        <is>
          <t>🔫火力强化</t>
        </is>
      </c>
      <c r="B82" s="6" t="n">
        <v>79</v>
      </c>
      <c r="C82" s="7" t="inlineStr">
        <is>
          <t>伤害 ×1.2（即 +20%）</t>
        </is>
      </c>
      <c r="D82" s="6">
        <f>Config!I4*1.2^B82</f>
        <v/>
      </c>
      <c r="E82" s="6" t="inlineStr">
        <is>
          <t>-</t>
        </is>
      </c>
      <c r="F82" s="6" t="inlineStr">
        <is>
          <t>-</t>
        </is>
      </c>
      <c r="G82" s="6" t="inlineStr"/>
    </row>
    <row r="83">
      <c r="A83" s="6" t="inlineStr">
        <is>
          <t>🔫火力强化</t>
        </is>
      </c>
      <c r="B83" s="6" t="n">
        <v>80</v>
      </c>
      <c r="C83" s="7" t="inlineStr">
        <is>
          <t>伤害 ×1.2（即 +20%）</t>
        </is>
      </c>
      <c r="D83" s="6">
        <f>Config!I4*1.2^B83</f>
        <v/>
      </c>
      <c r="E83" s="6" t="inlineStr">
        <is>
          <t>-</t>
        </is>
      </c>
      <c r="F83" s="6" t="inlineStr">
        <is>
          <t>-</t>
        </is>
      </c>
      <c r="G83" s="6" t="inlineStr"/>
    </row>
    <row r="84">
      <c r="A84" s="6" t="inlineStr">
        <is>
          <t>🔫火力强化</t>
        </is>
      </c>
      <c r="B84" s="6" t="n">
        <v>81</v>
      </c>
      <c r="C84" s="7" t="inlineStr">
        <is>
          <t>伤害 ×1.2（即 +20%）</t>
        </is>
      </c>
      <c r="D84" s="6">
        <f>Config!I4*1.2^B84</f>
        <v/>
      </c>
      <c r="E84" s="6" t="inlineStr">
        <is>
          <t>-</t>
        </is>
      </c>
      <c r="F84" s="6" t="inlineStr">
        <is>
          <t>-</t>
        </is>
      </c>
      <c r="G84" s="6" t="inlineStr"/>
    </row>
    <row r="85">
      <c r="A85" s="6" t="inlineStr">
        <is>
          <t>🔫火力强化</t>
        </is>
      </c>
      <c r="B85" s="6" t="n">
        <v>82</v>
      </c>
      <c r="C85" s="7" t="inlineStr">
        <is>
          <t>伤害 ×1.2（即 +20%）</t>
        </is>
      </c>
      <c r="D85" s="6">
        <f>Config!I4*1.2^B85</f>
        <v/>
      </c>
      <c r="E85" s="6" t="inlineStr">
        <is>
          <t>-</t>
        </is>
      </c>
      <c r="F85" s="6" t="inlineStr">
        <is>
          <t>-</t>
        </is>
      </c>
      <c r="G85" s="6" t="inlineStr"/>
    </row>
    <row r="86">
      <c r="A86" s="6" t="inlineStr">
        <is>
          <t>🔫火力强化</t>
        </is>
      </c>
      <c r="B86" s="6" t="n">
        <v>83</v>
      </c>
      <c r="C86" s="7" t="inlineStr">
        <is>
          <t>伤害 ×1.2（即 +20%）</t>
        </is>
      </c>
      <c r="D86" s="6">
        <f>Config!I4*1.2^B86</f>
        <v/>
      </c>
      <c r="E86" s="6" t="inlineStr">
        <is>
          <t>-</t>
        </is>
      </c>
      <c r="F86" s="6" t="inlineStr">
        <is>
          <t>-</t>
        </is>
      </c>
      <c r="G86" s="6" t="inlineStr"/>
    </row>
    <row r="87">
      <c r="A87" s="6" t="inlineStr">
        <is>
          <t>🔫火力强化</t>
        </is>
      </c>
      <c r="B87" s="6" t="n">
        <v>84</v>
      </c>
      <c r="C87" s="7" t="inlineStr">
        <is>
          <t>伤害 ×1.2（即 +20%）</t>
        </is>
      </c>
      <c r="D87" s="6">
        <f>Config!I4*1.2^B87</f>
        <v/>
      </c>
      <c r="E87" s="6" t="inlineStr">
        <is>
          <t>-</t>
        </is>
      </c>
      <c r="F87" s="6" t="inlineStr">
        <is>
          <t>-</t>
        </is>
      </c>
      <c r="G87" s="6" t="inlineStr"/>
    </row>
    <row r="88">
      <c r="A88" s="6" t="inlineStr">
        <is>
          <t>🔫火力强化</t>
        </is>
      </c>
      <c r="B88" s="6" t="n">
        <v>85</v>
      </c>
      <c r="C88" s="7" t="inlineStr">
        <is>
          <t>伤害 ×1.2（即 +20%）</t>
        </is>
      </c>
      <c r="D88" s="6">
        <f>Config!I4*1.2^B88</f>
        <v/>
      </c>
      <c r="E88" s="6" t="inlineStr">
        <is>
          <t>-</t>
        </is>
      </c>
      <c r="F88" s="6" t="inlineStr">
        <is>
          <t>-</t>
        </is>
      </c>
      <c r="G88" s="6" t="inlineStr"/>
    </row>
    <row r="89">
      <c r="A89" s="6" t="inlineStr">
        <is>
          <t>🔫火力强化</t>
        </is>
      </c>
      <c r="B89" s="6" t="n">
        <v>86</v>
      </c>
      <c r="C89" s="7" t="inlineStr">
        <is>
          <t>伤害 ×1.2（即 +20%）</t>
        </is>
      </c>
      <c r="D89" s="6">
        <f>Config!I4*1.2^B89</f>
        <v/>
      </c>
      <c r="E89" s="6" t="inlineStr">
        <is>
          <t>-</t>
        </is>
      </c>
      <c r="F89" s="6" t="inlineStr">
        <is>
          <t>-</t>
        </is>
      </c>
      <c r="G89" s="6" t="inlineStr"/>
    </row>
    <row r="90">
      <c r="A90" s="6" t="inlineStr">
        <is>
          <t>🔫火力强化</t>
        </is>
      </c>
      <c r="B90" s="6" t="n">
        <v>87</v>
      </c>
      <c r="C90" s="7" t="inlineStr">
        <is>
          <t>伤害 ×1.2（即 +20%）</t>
        </is>
      </c>
      <c r="D90" s="6">
        <f>Config!I4*1.2^B90</f>
        <v/>
      </c>
      <c r="E90" s="6" t="inlineStr">
        <is>
          <t>-</t>
        </is>
      </c>
      <c r="F90" s="6" t="inlineStr">
        <is>
          <t>-</t>
        </is>
      </c>
      <c r="G90" s="6" t="inlineStr"/>
    </row>
    <row r="91">
      <c r="A91" s="6" t="inlineStr">
        <is>
          <t>🔫火力强化</t>
        </is>
      </c>
      <c r="B91" s="6" t="n">
        <v>88</v>
      </c>
      <c r="C91" s="7" t="inlineStr">
        <is>
          <t>伤害 ×1.2（即 +20%）</t>
        </is>
      </c>
      <c r="D91" s="6">
        <f>Config!I4*1.2^B91</f>
        <v/>
      </c>
      <c r="E91" s="6" t="inlineStr">
        <is>
          <t>-</t>
        </is>
      </c>
      <c r="F91" s="6" t="inlineStr">
        <is>
          <t>-</t>
        </is>
      </c>
      <c r="G91" s="6" t="inlineStr"/>
    </row>
    <row r="92">
      <c r="A92" s="6" t="inlineStr">
        <is>
          <t>🔫火力强化</t>
        </is>
      </c>
      <c r="B92" s="6" t="n">
        <v>89</v>
      </c>
      <c r="C92" s="7" t="inlineStr">
        <is>
          <t>伤害 ×1.2（即 +20%）</t>
        </is>
      </c>
      <c r="D92" s="6">
        <f>Config!I4*1.2^B92</f>
        <v/>
      </c>
      <c r="E92" s="6" t="inlineStr">
        <is>
          <t>-</t>
        </is>
      </c>
      <c r="F92" s="6" t="inlineStr">
        <is>
          <t>-</t>
        </is>
      </c>
      <c r="G92" s="6" t="inlineStr"/>
    </row>
    <row r="93">
      <c r="A93" s="6" t="inlineStr">
        <is>
          <t>🔫火力强化</t>
        </is>
      </c>
      <c r="B93" s="6" t="n">
        <v>90</v>
      </c>
      <c r="C93" s="7" t="inlineStr">
        <is>
          <t>伤害 ×1.2（即 +20%）</t>
        </is>
      </c>
      <c r="D93" s="6">
        <f>Config!I4*1.2^B93</f>
        <v/>
      </c>
      <c r="E93" s="6" t="inlineStr">
        <is>
          <t>-</t>
        </is>
      </c>
      <c r="F93" s="6" t="inlineStr">
        <is>
          <t>-</t>
        </is>
      </c>
      <c r="G93" s="6" t="inlineStr"/>
    </row>
    <row r="94">
      <c r="A94" s="6" t="inlineStr">
        <is>
          <t>🔫火力强化</t>
        </is>
      </c>
      <c r="B94" s="6" t="n">
        <v>91</v>
      </c>
      <c r="C94" s="7" t="inlineStr">
        <is>
          <t>伤害 ×1.2（即 +20%）</t>
        </is>
      </c>
      <c r="D94" s="6">
        <f>Config!I4*1.2^B94</f>
        <v/>
      </c>
      <c r="E94" s="6" t="inlineStr">
        <is>
          <t>-</t>
        </is>
      </c>
      <c r="F94" s="6" t="inlineStr">
        <is>
          <t>-</t>
        </is>
      </c>
      <c r="G94" s="6" t="inlineStr"/>
    </row>
    <row r="95">
      <c r="A95" s="6" t="inlineStr">
        <is>
          <t>🔫火力强化</t>
        </is>
      </c>
      <c r="B95" s="6" t="n">
        <v>92</v>
      </c>
      <c r="C95" s="7" t="inlineStr">
        <is>
          <t>伤害 ×1.2（即 +20%）</t>
        </is>
      </c>
      <c r="D95" s="6">
        <f>Config!I4*1.2^B95</f>
        <v/>
      </c>
      <c r="E95" s="6" t="inlineStr">
        <is>
          <t>-</t>
        </is>
      </c>
      <c r="F95" s="6" t="inlineStr">
        <is>
          <t>-</t>
        </is>
      </c>
      <c r="G95" s="6" t="inlineStr"/>
    </row>
    <row r="96">
      <c r="A96" s="6" t="inlineStr">
        <is>
          <t>🔫火力强化</t>
        </is>
      </c>
      <c r="B96" s="6" t="n">
        <v>93</v>
      </c>
      <c r="C96" s="7" t="inlineStr">
        <is>
          <t>伤害 ×1.2（即 +20%）</t>
        </is>
      </c>
      <c r="D96" s="6">
        <f>Config!I4*1.2^B96</f>
        <v/>
      </c>
      <c r="E96" s="6" t="inlineStr">
        <is>
          <t>-</t>
        </is>
      </c>
      <c r="F96" s="6" t="inlineStr">
        <is>
          <t>-</t>
        </is>
      </c>
      <c r="G96" s="6" t="inlineStr"/>
    </row>
    <row r="97">
      <c r="A97" s="6" t="inlineStr">
        <is>
          <t>🔫火力强化</t>
        </is>
      </c>
      <c r="B97" s="6" t="n">
        <v>94</v>
      </c>
      <c r="C97" s="7" t="inlineStr">
        <is>
          <t>伤害 ×1.2（即 +20%）</t>
        </is>
      </c>
      <c r="D97" s="6">
        <f>Config!I4*1.2^B97</f>
        <v/>
      </c>
      <c r="E97" s="6" t="inlineStr">
        <is>
          <t>-</t>
        </is>
      </c>
      <c r="F97" s="6" t="inlineStr">
        <is>
          <t>-</t>
        </is>
      </c>
      <c r="G97" s="6" t="inlineStr"/>
    </row>
    <row r="98">
      <c r="A98" s="6" t="inlineStr">
        <is>
          <t>🔫火力强化</t>
        </is>
      </c>
      <c r="B98" s="6" t="n">
        <v>95</v>
      </c>
      <c r="C98" s="7" t="inlineStr">
        <is>
          <t>伤害 ×1.2（即 +20%）</t>
        </is>
      </c>
      <c r="D98" s="6">
        <f>Config!I4*1.2^B98</f>
        <v/>
      </c>
      <c r="E98" s="6" t="inlineStr">
        <is>
          <t>-</t>
        </is>
      </c>
      <c r="F98" s="6" t="inlineStr">
        <is>
          <t>-</t>
        </is>
      </c>
      <c r="G98" s="6" t="inlineStr"/>
    </row>
    <row r="99">
      <c r="A99" s="6" t="inlineStr">
        <is>
          <t>🔫火力强化</t>
        </is>
      </c>
      <c r="B99" s="6" t="n">
        <v>96</v>
      </c>
      <c r="C99" s="7" t="inlineStr">
        <is>
          <t>伤害 ×1.2（即 +20%）</t>
        </is>
      </c>
      <c r="D99" s="6">
        <f>Config!I4*1.2^B99</f>
        <v/>
      </c>
      <c r="E99" s="6" t="inlineStr">
        <is>
          <t>-</t>
        </is>
      </c>
      <c r="F99" s="6" t="inlineStr">
        <is>
          <t>-</t>
        </is>
      </c>
      <c r="G99" s="6" t="inlineStr"/>
    </row>
    <row r="100">
      <c r="A100" s="6" t="inlineStr">
        <is>
          <t>🔫火力强化</t>
        </is>
      </c>
      <c r="B100" s="6" t="n">
        <v>97</v>
      </c>
      <c r="C100" s="7" t="inlineStr">
        <is>
          <t>伤害 ×1.2（即 +20%）</t>
        </is>
      </c>
      <c r="D100" s="6">
        <f>Config!I4*1.2^B100</f>
        <v/>
      </c>
      <c r="E100" s="6" t="inlineStr">
        <is>
          <t>-</t>
        </is>
      </c>
      <c r="F100" s="6" t="inlineStr">
        <is>
          <t>-</t>
        </is>
      </c>
      <c r="G100" s="6" t="inlineStr"/>
    </row>
    <row r="101">
      <c r="A101" s="6" t="inlineStr">
        <is>
          <t>🔫火力强化</t>
        </is>
      </c>
      <c r="B101" s="6" t="n">
        <v>98</v>
      </c>
      <c r="C101" s="7" t="inlineStr">
        <is>
          <t>伤害 ×1.2（即 +20%）</t>
        </is>
      </c>
      <c r="D101" s="6">
        <f>Config!I4*1.2^B101</f>
        <v/>
      </c>
      <c r="E101" s="6" t="inlineStr">
        <is>
          <t>-</t>
        </is>
      </c>
      <c r="F101" s="6" t="inlineStr">
        <is>
          <t>-</t>
        </is>
      </c>
      <c r="G101" s="6" t="inlineStr"/>
    </row>
    <row r="102">
      <c r="A102" s="6" t="inlineStr">
        <is>
          <t>🔫火力强化</t>
        </is>
      </c>
      <c r="B102" s="6" t="n">
        <v>99</v>
      </c>
      <c r="C102" s="7" t="inlineStr">
        <is>
          <t>伤害 ×1.2（即 +20%）</t>
        </is>
      </c>
      <c r="D102" s="6">
        <f>Config!I4*1.2^B102</f>
        <v/>
      </c>
      <c r="E102" s="6" t="inlineStr">
        <is>
          <t>-</t>
        </is>
      </c>
      <c r="F102" s="6" t="inlineStr">
        <is>
          <t>-</t>
        </is>
      </c>
      <c r="G102" s="6" t="inlineStr"/>
    </row>
    <row r="103">
      <c r="A103" s="6" t="inlineStr">
        <is>
          <t>»急速射击</t>
        </is>
      </c>
      <c r="B103" s="6" t="n">
        <v>1</v>
      </c>
      <c r="C103" s="7" t="inlineStr">
        <is>
          <t>射击间隔 ×0.85（射速约 +17.6%）</t>
        </is>
      </c>
      <c r="D103" s="6">
        <f>1000/(Config!I5*0.85^B103*IF(B103&gt;=3,0.95,1)*IF(B103&gt;=5,0.95,1))</f>
        <v/>
      </c>
      <c r="E103" s="6" t="inlineStr">
        <is>
          <t>-</t>
        </is>
      </c>
      <c r="F103" s="6" t="inlineStr">
        <is>
          <t>-</t>
        </is>
      </c>
      <c r="G103" s="6" t="inlineStr"/>
    </row>
    <row r="104">
      <c r="A104" s="6" t="inlineStr">
        <is>
          <t>»急速射击</t>
        </is>
      </c>
      <c r="B104" s="6" t="n">
        <v>2</v>
      </c>
      <c r="C104" s="7" t="inlineStr">
        <is>
          <t>射击间隔 ×0.85（射速约 +17.6%）</t>
        </is>
      </c>
      <c r="D104" s="6">
        <f>1000/(Config!I5*0.85^B104*IF(B104&gt;=3,0.95,1)*IF(B104&gt;=5,0.95,1))</f>
        <v/>
      </c>
      <c r="E104" s="6" t="inlineStr">
        <is>
          <t>-</t>
        </is>
      </c>
      <c r="F104" s="6" t="inlineStr">
        <is>
          <t>-</t>
        </is>
      </c>
      <c r="G104" s="6" t="inlineStr"/>
    </row>
    <row r="105">
      <c r="A105" s="8" t="inlineStr">
        <is>
          <t>»急速射击</t>
        </is>
      </c>
      <c r="B105" s="8" t="n">
        <v>3</v>
      </c>
      <c r="C105" s="9" t="inlineStr">
        <is>
          <t>射击间隔再 ×0.95</t>
        </is>
      </c>
      <c r="D105" s="8">
        <f>1000/(Config!I5*0.85^B105*IF(B105&gt;=3,0.95,1)*IF(B105&gt;=5,0.95,1))</f>
        <v/>
      </c>
      <c r="E105" s="8" t="inlineStr">
        <is>
          <t>-</t>
        </is>
      </c>
      <c r="F105" s="8" t="inlineStr">
        <is>
          <t>-</t>
        </is>
      </c>
      <c r="G105" s="8" t="inlineStr">
        <is>
          <t>★Lv3质变</t>
        </is>
      </c>
    </row>
    <row r="106">
      <c r="A106" s="6" t="inlineStr">
        <is>
          <t>»急速射击</t>
        </is>
      </c>
      <c r="B106" s="6" t="n">
        <v>4</v>
      </c>
      <c r="C106" s="7" t="inlineStr">
        <is>
          <t>射击间隔 ×0.85（射速约 +17.6%）</t>
        </is>
      </c>
      <c r="D106" s="6">
        <f>1000/(Config!I5*0.85^B106*IF(B106&gt;=3,0.95,1)*IF(B106&gt;=5,0.95,1))</f>
        <v/>
      </c>
      <c r="E106" s="6" t="inlineStr">
        <is>
          <t>-</t>
        </is>
      </c>
      <c r="F106" s="6" t="inlineStr">
        <is>
          <t>-</t>
        </is>
      </c>
      <c r="G106" s="6" t="inlineStr"/>
    </row>
    <row r="107">
      <c r="A107" s="8" t="inlineStr">
        <is>
          <t>»急速射击</t>
        </is>
      </c>
      <c r="B107" s="8" t="n">
        <v>5</v>
      </c>
      <c r="C107" s="9" t="inlineStr">
        <is>
          <t>射击间隔再 ×0.95</t>
        </is>
      </c>
      <c r="D107" s="8">
        <f>1000/(Config!I5*0.85^B107*IF(B107&gt;=3,0.95,1)*IF(B107&gt;=5,0.95,1))</f>
        <v/>
      </c>
      <c r="E107" s="8" t="inlineStr">
        <is>
          <t>-</t>
        </is>
      </c>
      <c r="F107" s="8" t="inlineStr">
        <is>
          <t>-</t>
        </is>
      </c>
      <c r="G107" s="8" t="inlineStr">
        <is>
          <t>★Lv5质变</t>
        </is>
      </c>
    </row>
    <row r="108">
      <c r="A108" s="6" t="inlineStr">
        <is>
          <t>»急速射击</t>
        </is>
      </c>
      <c r="B108" s="6" t="n">
        <v>6</v>
      </c>
      <c r="C108" s="7" t="inlineStr">
        <is>
          <t>射击间隔 ×0.85（射速约 +17.6%）</t>
        </is>
      </c>
      <c r="D108" s="6">
        <f>1000/(Config!I5*0.85^B108*IF(B108&gt;=3,0.95,1)*IF(B108&gt;=5,0.95,1))</f>
        <v/>
      </c>
      <c r="E108" s="6" t="inlineStr">
        <is>
          <t>-</t>
        </is>
      </c>
      <c r="F108" s="6" t="inlineStr">
        <is>
          <t>-</t>
        </is>
      </c>
      <c r="G108" s="6" t="inlineStr"/>
    </row>
    <row r="109">
      <c r="A109" s="6" t="inlineStr">
        <is>
          <t>»急速射击</t>
        </is>
      </c>
      <c r="B109" s="6" t="n">
        <v>7</v>
      </c>
      <c r="C109" s="7" t="inlineStr">
        <is>
          <t>射击间隔 ×0.85（射速约 +17.6%）</t>
        </is>
      </c>
      <c r="D109" s="6">
        <f>1000/(Config!I5*0.85^B109*IF(B109&gt;=3,0.95,1)*IF(B109&gt;=5,0.95,1))</f>
        <v/>
      </c>
      <c r="E109" s="6" t="inlineStr">
        <is>
          <t>-</t>
        </is>
      </c>
      <c r="F109" s="6" t="inlineStr">
        <is>
          <t>-</t>
        </is>
      </c>
      <c r="G109" s="6" t="inlineStr"/>
    </row>
    <row r="110">
      <c r="A110" s="6" t="inlineStr">
        <is>
          <t>»急速射击</t>
        </is>
      </c>
      <c r="B110" s="6" t="n">
        <v>8</v>
      </c>
      <c r="C110" s="7" t="inlineStr">
        <is>
          <t>射击间隔 ×0.85（射速约 +17.6%）</t>
        </is>
      </c>
      <c r="D110" s="6">
        <f>1000/(Config!I5*0.85^B110*IF(B110&gt;=3,0.95,1)*IF(B110&gt;=5,0.95,1))</f>
        <v/>
      </c>
      <c r="E110" s="6" t="inlineStr">
        <is>
          <t>-</t>
        </is>
      </c>
      <c r="F110" s="6" t="inlineStr">
        <is>
          <t>-</t>
        </is>
      </c>
      <c r="G110" s="6" t="inlineStr"/>
    </row>
    <row r="111">
      <c r="A111" s="6" t="inlineStr">
        <is>
          <t>»急速射击</t>
        </is>
      </c>
      <c r="B111" s="6" t="n">
        <v>9</v>
      </c>
      <c r="C111" s="7" t="inlineStr">
        <is>
          <t>射击间隔 ×0.85（射速约 +17.6%）</t>
        </is>
      </c>
      <c r="D111" s="6">
        <f>1000/(Config!I5*0.85^B111*IF(B111&gt;=3,0.95,1)*IF(B111&gt;=5,0.95,1))</f>
        <v/>
      </c>
      <c r="E111" s="6" t="inlineStr">
        <is>
          <t>-</t>
        </is>
      </c>
      <c r="F111" s="6" t="inlineStr">
        <is>
          <t>-</t>
        </is>
      </c>
      <c r="G111" s="6" t="inlineStr"/>
    </row>
    <row r="112">
      <c r="A112" s="6" t="inlineStr">
        <is>
          <t>»急速射击</t>
        </is>
      </c>
      <c r="B112" s="6" t="n">
        <v>10</v>
      </c>
      <c r="C112" s="7" t="inlineStr">
        <is>
          <t>射击间隔 ×0.85（射速约 +17.6%）</t>
        </is>
      </c>
      <c r="D112" s="6">
        <f>1000/(Config!I5*0.85^B112*IF(B112&gt;=3,0.95,1)*IF(B112&gt;=5,0.95,1))</f>
        <v/>
      </c>
      <c r="E112" s="6" t="inlineStr">
        <is>
          <t>-</t>
        </is>
      </c>
      <c r="F112" s="6" t="inlineStr">
        <is>
          <t>-</t>
        </is>
      </c>
      <c r="G112" s="6" t="inlineStr"/>
    </row>
    <row r="113">
      <c r="A113" s="6" t="inlineStr">
        <is>
          <t>»急速射击</t>
        </is>
      </c>
      <c r="B113" s="6" t="n">
        <v>11</v>
      </c>
      <c r="C113" s="7" t="inlineStr">
        <is>
          <t>射击间隔 ×0.85（射速约 +17.6%）</t>
        </is>
      </c>
      <c r="D113" s="6">
        <f>1000/(Config!I5*0.85^B113*IF(B113&gt;=3,0.95,1)*IF(B113&gt;=5,0.95,1))</f>
        <v/>
      </c>
      <c r="E113" s="6" t="inlineStr">
        <is>
          <t>-</t>
        </is>
      </c>
      <c r="F113" s="6" t="inlineStr">
        <is>
          <t>-</t>
        </is>
      </c>
      <c r="G113" s="6" t="inlineStr"/>
    </row>
    <row r="114">
      <c r="A114" s="6" t="inlineStr">
        <is>
          <t>»急速射击</t>
        </is>
      </c>
      <c r="B114" s="6" t="n">
        <v>12</v>
      </c>
      <c r="C114" s="7" t="inlineStr">
        <is>
          <t>射击间隔 ×0.85（射速约 +17.6%）</t>
        </is>
      </c>
      <c r="D114" s="6">
        <f>1000/(Config!I5*0.85^B114*IF(B114&gt;=3,0.95,1)*IF(B114&gt;=5,0.95,1))</f>
        <v/>
      </c>
      <c r="E114" s="6" t="inlineStr">
        <is>
          <t>-</t>
        </is>
      </c>
      <c r="F114" s="6" t="inlineStr">
        <is>
          <t>-</t>
        </is>
      </c>
      <c r="G114" s="6" t="inlineStr"/>
    </row>
    <row r="115">
      <c r="A115" s="6" t="inlineStr">
        <is>
          <t>»急速射击</t>
        </is>
      </c>
      <c r="B115" s="6" t="n">
        <v>13</v>
      </c>
      <c r="C115" s="7" t="inlineStr">
        <is>
          <t>射击间隔 ×0.85（射速约 +17.6%）</t>
        </is>
      </c>
      <c r="D115" s="6">
        <f>1000/(Config!I5*0.85^B115*IF(B115&gt;=3,0.95,1)*IF(B115&gt;=5,0.95,1))</f>
        <v/>
      </c>
      <c r="E115" s="6" t="inlineStr">
        <is>
          <t>-</t>
        </is>
      </c>
      <c r="F115" s="6" t="inlineStr">
        <is>
          <t>-</t>
        </is>
      </c>
      <c r="G115" s="6" t="inlineStr"/>
    </row>
    <row r="116">
      <c r="A116" s="6" t="inlineStr">
        <is>
          <t>»急速射击</t>
        </is>
      </c>
      <c r="B116" s="6" t="n">
        <v>14</v>
      </c>
      <c r="C116" s="7" t="inlineStr">
        <is>
          <t>射击间隔 ×0.85（射速约 +17.6%）</t>
        </is>
      </c>
      <c r="D116" s="6">
        <f>1000/(Config!I5*0.85^B116*IF(B116&gt;=3,0.95,1)*IF(B116&gt;=5,0.95,1))</f>
        <v/>
      </c>
      <c r="E116" s="6" t="inlineStr">
        <is>
          <t>-</t>
        </is>
      </c>
      <c r="F116" s="6" t="inlineStr">
        <is>
          <t>-</t>
        </is>
      </c>
      <c r="G116" s="6" t="inlineStr"/>
    </row>
    <row r="117">
      <c r="A117" s="6" t="inlineStr">
        <is>
          <t>»急速射击</t>
        </is>
      </c>
      <c r="B117" s="6" t="n">
        <v>15</v>
      </c>
      <c r="C117" s="7" t="inlineStr">
        <is>
          <t>射击间隔 ×0.85（射速约 +17.6%）</t>
        </is>
      </c>
      <c r="D117" s="6">
        <f>1000/(Config!I5*0.85^B117*IF(B117&gt;=3,0.95,1)*IF(B117&gt;=5,0.95,1))</f>
        <v/>
      </c>
      <c r="E117" s="6" t="inlineStr">
        <is>
          <t>-</t>
        </is>
      </c>
      <c r="F117" s="6" t="inlineStr">
        <is>
          <t>-</t>
        </is>
      </c>
      <c r="G117" s="6" t="inlineStr"/>
    </row>
    <row r="118">
      <c r="A118" s="6" t="inlineStr">
        <is>
          <t>»急速射击</t>
        </is>
      </c>
      <c r="B118" s="6" t="n">
        <v>16</v>
      </c>
      <c r="C118" s="7" t="inlineStr">
        <is>
          <t>射击间隔 ×0.85（射速约 +17.6%）</t>
        </is>
      </c>
      <c r="D118" s="6">
        <f>1000/(Config!I5*0.85^B118*IF(B118&gt;=3,0.95,1)*IF(B118&gt;=5,0.95,1))</f>
        <v/>
      </c>
      <c r="E118" s="6" t="inlineStr">
        <is>
          <t>-</t>
        </is>
      </c>
      <c r="F118" s="6" t="inlineStr">
        <is>
          <t>-</t>
        </is>
      </c>
      <c r="G118" s="6" t="inlineStr"/>
    </row>
    <row r="119">
      <c r="A119" s="6" t="inlineStr">
        <is>
          <t>»急速射击</t>
        </is>
      </c>
      <c r="B119" s="6" t="n">
        <v>17</v>
      </c>
      <c r="C119" s="7" t="inlineStr">
        <is>
          <t>射击间隔 ×0.85（射速约 +17.6%）</t>
        </is>
      </c>
      <c r="D119" s="6">
        <f>1000/(Config!I5*0.85^B119*IF(B119&gt;=3,0.95,1)*IF(B119&gt;=5,0.95,1))</f>
        <v/>
      </c>
      <c r="E119" s="6" t="inlineStr">
        <is>
          <t>-</t>
        </is>
      </c>
      <c r="F119" s="6" t="inlineStr">
        <is>
          <t>-</t>
        </is>
      </c>
      <c r="G119" s="6" t="inlineStr"/>
    </row>
    <row r="120">
      <c r="A120" s="6" t="inlineStr">
        <is>
          <t>»急速射击</t>
        </is>
      </c>
      <c r="B120" s="6" t="n">
        <v>18</v>
      </c>
      <c r="C120" s="7" t="inlineStr">
        <is>
          <t>射击间隔 ×0.85（射速约 +17.6%）</t>
        </is>
      </c>
      <c r="D120" s="6">
        <f>1000/(Config!I5*0.85^B120*IF(B120&gt;=3,0.95,1)*IF(B120&gt;=5,0.95,1))</f>
        <v/>
      </c>
      <c r="E120" s="6" t="inlineStr">
        <is>
          <t>-</t>
        </is>
      </c>
      <c r="F120" s="6" t="inlineStr">
        <is>
          <t>-</t>
        </is>
      </c>
      <c r="G120" s="6" t="inlineStr"/>
    </row>
    <row r="121">
      <c r="A121" s="6" t="inlineStr">
        <is>
          <t>»急速射击</t>
        </is>
      </c>
      <c r="B121" s="6" t="n">
        <v>19</v>
      </c>
      <c r="C121" s="7" t="inlineStr">
        <is>
          <t>射击间隔 ×0.85（射速约 +17.6%）</t>
        </is>
      </c>
      <c r="D121" s="6">
        <f>1000/(Config!I5*0.85^B121*IF(B121&gt;=3,0.95,1)*IF(B121&gt;=5,0.95,1))</f>
        <v/>
      </c>
      <c r="E121" s="6" t="inlineStr">
        <is>
          <t>-</t>
        </is>
      </c>
      <c r="F121" s="6" t="inlineStr">
        <is>
          <t>-</t>
        </is>
      </c>
      <c r="G121" s="6" t="inlineStr"/>
    </row>
    <row r="122">
      <c r="A122" s="6" t="inlineStr">
        <is>
          <t>»急速射击</t>
        </is>
      </c>
      <c r="B122" s="6" t="n">
        <v>20</v>
      </c>
      <c r="C122" s="7" t="inlineStr">
        <is>
          <t>射击间隔 ×0.85（射速约 +17.6%）</t>
        </is>
      </c>
      <c r="D122" s="6">
        <f>1000/(Config!I5*0.85^B122*IF(B122&gt;=3,0.95,1)*IF(B122&gt;=5,0.95,1))</f>
        <v/>
      </c>
      <c r="E122" s="6" t="inlineStr">
        <is>
          <t>-</t>
        </is>
      </c>
      <c r="F122" s="6" t="inlineStr">
        <is>
          <t>-</t>
        </is>
      </c>
      <c r="G122" s="6" t="inlineStr"/>
    </row>
    <row r="123">
      <c r="A123" s="6" t="inlineStr">
        <is>
          <t>»急速射击</t>
        </is>
      </c>
      <c r="B123" s="6" t="n">
        <v>21</v>
      </c>
      <c r="C123" s="7" t="inlineStr">
        <is>
          <t>射击间隔 ×0.85（射速约 +17.6%）</t>
        </is>
      </c>
      <c r="D123" s="6">
        <f>1000/(Config!I5*0.85^B123*IF(B123&gt;=3,0.95,1)*IF(B123&gt;=5,0.95,1))</f>
        <v/>
      </c>
      <c r="E123" s="6" t="inlineStr">
        <is>
          <t>-</t>
        </is>
      </c>
      <c r="F123" s="6" t="inlineStr">
        <is>
          <t>-</t>
        </is>
      </c>
      <c r="G123" s="6" t="inlineStr"/>
    </row>
    <row r="124">
      <c r="A124" s="6" t="inlineStr">
        <is>
          <t>»急速射击</t>
        </is>
      </c>
      <c r="B124" s="6" t="n">
        <v>22</v>
      </c>
      <c r="C124" s="7" t="inlineStr">
        <is>
          <t>射击间隔 ×0.85（射速约 +17.6%）</t>
        </is>
      </c>
      <c r="D124" s="6">
        <f>1000/(Config!I5*0.85^B124*IF(B124&gt;=3,0.95,1)*IF(B124&gt;=5,0.95,1))</f>
        <v/>
      </c>
      <c r="E124" s="6" t="inlineStr">
        <is>
          <t>-</t>
        </is>
      </c>
      <c r="F124" s="6" t="inlineStr">
        <is>
          <t>-</t>
        </is>
      </c>
      <c r="G124" s="6" t="inlineStr"/>
    </row>
    <row r="125">
      <c r="A125" s="6" t="inlineStr">
        <is>
          <t>»急速射击</t>
        </is>
      </c>
      <c r="B125" s="6" t="n">
        <v>23</v>
      </c>
      <c r="C125" s="7" t="inlineStr">
        <is>
          <t>射击间隔 ×0.85（射速约 +17.6%）</t>
        </is>
      </c>
      <c r="D125" s="6">
        <f>1000/(Config!I5*0.85^B125*IF(B125&gt;=3,0.95,1)*IF(B125&gt;=5,0.95,1))</f>
        <v/>
      </c>
      <c r="E125" s="6" t="inlineStr">
        <is>
          <t>-</t>
        </is>
      </c>
      <c r="F125" s="6" t="inlineStr">
        <is>
          <t>-</t>
        </is>
      </c>
      <c r="G125" s="6" t="inlineStr"/>
    </row>
    <row r="126">
      <c r="A126" s="6" t="inlineStr">
        <is>
          <t>»急速射击</t>
        </is>
      </c>
      <c r="B126" s="6" t="n">
        <v>24</v>
      </c>
      <c r="C126" s="7" t="inlineStr">
        <is>
          <t>射击间隔 ×0.85（射速约 +17.6%）</t>
        </is>
      </c>
      <c r="D126" s="6">
        <f>1000/(Config!I5*0.85^B126*IF(B126&gt;=3,0.95,1)*IF(B126&gt;=5,0.95,1))</f>
        <v/>
      </c>
      <c r="E126" s="6" t="inlineStr">
        <is>
          <t>-</t>
        </is>
      </c>
      <c r="F126" s="6" t="inlineStr">
        <is>
          <t>-</t>
        </is>
      </c>
      <c r="G126" s="6" t="inlineStr"/>
    </row>
    <row r="127">
      <c r="A127" s="6" t="inlineStr">
        <is>
          <t>»急速射击</t>
        </is>
      </c>
      <c r="B127" s="6" t="n">
        <v>25</v>
      </c>
      <c r="C127" s="7" t="inlineStr">
        <is>
          <t>射击间隔 ×0.85（射速约 +17.6%）</t>
        </is>
      </c>
      <c r="D127" s="6">
        <f>1000/(Config!I5*0.85^B127*IF(B127&gt;=3,0.95,1)*IF(B127&gt;=5,0.95,1))</f>
        <v/>
      </c>
      <c r="E127" s="6" t="inlineStr">
        <is>
          <t>-</t>
        </is>
      </c>
      <c r="F127" s="6" t="inlineStr">
        <is>
          <t>-</t>
        </is>
      </c>
      <c r="G127" s="6" t="inlineStr"/>
    </row>
    <row r="128">
      <c r="A128" s="6" t="inlineStr">
        <is>
          <t>»急速射击</t>
        </is>
      </c>
      <c r="B128" s="6" t="n">
        <v>26</v>
      </c>
      <c r="C128" s="7" t="inlineStr">
        <is>
          <t>射击间隔 ×0.85（射速约 +17.6%）</t>
        </is>
      </c>
      <c r="D128" s="6">
        <f>1000/(Config!I5*0.85^B128*IF(B128&gt;=3,0.95,1)*IF(B128&gt;=5,0.95,1))</f>
        <v/>
      </c>
      <c r="E128" s="6" t="inlineStr">
        <is>
          <t>-</t>
        </is>
      </c>
      <c r="F128" s="6" t="inlineStr">
        <is>
          <t>-</t>
        </is>
      </c>
      <c r="G128" s="6" t="inlineStr"/>
    </row>
    <row r="129">
      <c r="A129" s="6" t="inlineStr">
        <is>
          <t>»急速射击</t>
        </is>
      </c>
      <c r="B129" s="6" t="n">
        <v>27</v>
      </c>
      <c r="C129" s="7" t="inlineStr">
        <is>
          <t>射击间隔 ×0.85（射速约 +17.6%）</t>
        </is>
      </c>
      <c r="D129" s="6">
        <f>1000/(Config!I5*0.85^B129*IF(B129&gt;=3,0.95,1)*IF(B129&gt;=5,0.95,1))</f>
        <v/>
      </c>
      <c r="E129" s="6" t="inlineStr">
        <is>
          <t>-</t>
        </is>
      </c>
      <c r="F129" s="6" t="inlineStr">
        <is>
          <t>-</t>
        </is>
      </c>
      <c r="G129" s="6" t="inlineStr"/>
    </row>
    <row r="130">
      <c r="A130" s="6" t="inlineStr">
        <is>
          <t>»急速射击</t>
        </is>
      </c>
      <c r="B130" s="6" t="n">
        <v>28</v>
      </c>
      <c r="C130" s="7" t="inlineStr">
        <is>
          <t>射击间隔 ×0.85（射速约 +17.6%）</t>
        </is>
      </c>
      <c r="D130" s="6">
        <f>1000/(Config!I5*0.85^B130*IF(B130&gt;=3,0.95,1)*IF(B130&gt;=5,0.95,1))</f>
        <v/>
      </c>
      <c r="E130" s="6" t="inlineStr">
        <is>
          <t>-</t>
        </is>
      </c>
      <c r="F130" s="6" t="inlineStr">
        <is>
          <t>-</t>
        </is>
      </c>
      <c r="G130" s="6" t="inlineStr"/>
    </row>
    <row r="131">
      <c r="A131" s="6" t="inlineStr">
        <is>
          <t>»急速射击</t>
        </is>
      </c>
      <c r="B131" s="6" t="n">
        <v>29</v>
      </c>
      <c r="C131" s="7" t="inlineStr">
        <is>
          <t>射击间隔 ×0.85（射速约 +17.6%）</t>
        </is>
      </c>
      <c r="D131" s="6">
        <f>1000/(Config!I5*0.85^B131*IF(B131&gt;=3,0.95,1)*IF(B131&gt;=5,0.95,1))</f>
        <v/>
      </c>
      <c r="E131" s="6" t="inlineStr">
        <is>
          <t>-</t>
        </is>
      </c>
      <c r="F131" s="6" t="inlineStr">
        <is>
          <t>-</t>
        </is>
      </c>
      <c r="G131" s="6" t="inlineStr"/>
    </row>
    <row r="132">
      <c r="A132" s="6" t="inlineStr">
        <is>
          <t>»急速射击</t>
        </is>
      </c>
      <c r="B132" s="6" t="n">
        <v>30</v>
      </c>
      <c r="C132" s="7" t="inlineStr">
        <is>
          <t>射击间隔 ×0.85（射速约 +17.6%）</t>
        </is>
      </c>
      <c r="D132" s="6">
        <f>1000/(Config!I5*0.85^B132*IF(B132&gt;=3,0.95,1)*IF(B132&gt;=5,0.95,1))</f>
        <v/>
      </c>
      <c r="E132" s="6" t="inlineStr">
        <is>
          <t>-</t>
        </is>
      </c>
      <c r="F132" s="6" t="inlineStr">
        <is>
          <t>-</t>
        </is>
      </c>
      <c r="G132" s="6" t="inlineStr"/>
    </row>
    <row r="133">
      <c r="A133" s="6" t="inlineStr">
        <is>
          <t>»急速射击</t>
        </is>
      </c>
      <c r="B133" s="6" t="n">
        <v>31</v>
      </c>
      <c r="C133" s="7" t="inlineStr">
        <is>
          <t>射击间隔 ×0.85（射速约 +17.6%）</t>
        </is>
      </c>
      <c r="D133" s="6">
        <f>1000/(Config!I5*0.85^B133*IF(B133&gt;=3,0.95,1)*IF(B133&gt;=5,0.95,1))</f>
        <v/>
      </c>
      <c r="E133" s="6" t="inlineStr">
        <is>
          <t>-</t>
        </is>
      </c>
      <c r="F133" s="6" t="inlineStr">
        <is>
          <t>-</t>
        </is>
      </c>
      <c r="G133" s="6" t="inlineStr"/>
    </row>
    <row r="134">
      <c r="A134" s="6" t="inlineStr">
        <is>
          <t>»急速射击</t>
        </is>
      </c>
      <c r="B134" s="6" t="n">
        <v>32</v>
      </c>
      <c r="C134" s="7" t="inlineStr">
        <is>
          <t>射击间隔 ×0.85（射速约 +17.6%）</t>
        </is>
      </c>
      <c r="D134" s="6">
        <f>1000/(Config!I5*0.85^B134*IF(B134&gt;=3,0.95,1)*IF(B134&gt;=5,0.95,1))</f>
        <v/>
      </c>
      <c r="E134" s="6" t="inlineStr">
        <is>
          <t>-</t>
        </is>
      </c>
      <c r="F134" s="6" t="inlineStr">
        <is>
          <t>-</t>
        </is>
      </c>
      <c r="G134" s="6" t="inlineStr"/>
    </row>
    <row r="135">
      <c r="A135" s="6" t="inlineStr">
        <is>
          <t>»急速射击</t>
        </is>
      </c>
      <c r="B135" s="6" t="n">
        <v>33</v>
      </c>
      <c r="C135" s="7" t="inlineStr">
        <is>
          <t>射击间隔 ×0.85（射速约 +17.6%）</t>
        </is>
      </c>
      <c r="D135" s="6">
        <f>1000/(Config!I5*0.85^B135*IF(B135&gt;=3,0.95,1)*IF(B135&gt;=5,0.95,1))</f>
        <v/>
      </c>
      <c r="E135" s="6" t="inlineStr">
        <is>
          <t>-</t>
        </is>
      </c>
      <c r="F135" s="6" t="inlineStr">
        <is>
          <t>-</t>
        </is>
      </c>
      <c r="G135" s="6" t="inlineStr"/>
    </row>
    <row r="136">
      <c r="A136" s="6" t="inlineStr">
        <is>
          <t>»急速射击</t>
        </is>
      </c>
      <c r="B136" s="6" t="n">
        <v>34</v>
      </c>
      <c r="C136" s="7" t="inlineStr">
        <is>
          <t>射击间隔 ×0.85（射速约 +17.6%）</t>
        </is>
      </c>
      <c r="D136" s="6">
        <f>1000/(Config!I5*0.85^B136*IF(B136&gt;=3,0.95,1)*IF(B136&gt;=5,0.95,1))</f>
        <v/>
      </c>
      <c r="E136" s="6" t="inlineStr">
        <is>
          <t>-</t>
        </is>
      </c>
      <c r="F136" s="6" t="inlineStr">
        <is>
          <t>-</t>
        </is>
      </c>
      <c r="G136" s="6" t="inlineStr"/>
    </row>
    <row r="137">
      <c r="A137" s="6" t="inlineStr">
        <is>
          <t>»急速射击</t>
        </is>
      </c>
      <c r="B137" s="6" t="n">
        <v>35</v>
      </c>
      <c r="C137" s="7" t="inlineStr">
        <is>
          <t>射击间隔 ×0.85（射速约 +17.6%）</t>
        </is>
      </c>
      <c r="D137" s="6">
        <f>1000/(Config!I5*0.85^B137*IF(B137&gt;=3,0.95,1)*IF(B137&gt;=5,0.95,1))</f>
        <v/>
      </c>
      <c r="E137" s="6" t="inlineStr">
        <is>
          <t>-</t>
        </is>
      </c>
      <c r="F137" s="6" t="inlineStr">
        <is>
          <t>-</t>
        </is>
      </c>
      <c r="G137" s="6" t="inlineStr"/>
    </row>
    <row r="138">
      <c r="A138" s="6" t="inlineStr">
        <is>
          <t>»急速射击</t>
        </is>
      </c>
      <c r="B138" s="6" t="n">
        <v>36</v>
      </c>
      <c r="C138" s="7" t="inlineStr">
        <is>
          <t>射击间隔 ×0.85（射速约 +17.6%）</t>
        </is>
      </c>
      <c r="D138" s="6">
        <f>1000/(Config!I5*0.85^B138*IF(B138&gt;=3,0.95,1)*IF(B138&gt;=5,0.95,1))</f>
        <v/>
      </c>
      <c r="E138" s="6" t="inlineStr">
        <is>
          <t>-</t>
        </is>
      </c>
      <c r="F138" s="6" t="inlineStr">
        <is>
          <t>-</t>
        </is>
      </c>
      <c r="G138" s="6" t="inlineStr"/>
    </row>
    <row r="139">
      <c r="A139" s="6" t="inlineStr">
        <is>
          <t>»急速射击</t>
        </is>
      </c>
      <c r="B139" s="6" t="n">
        <v>37</v>
      </c>
      <c r="C139" s="7" t="inlineStr">
        <is>
          <t>射击间隔 ×0.85（射速约 +17.6%）</t>
        </is>
      </c>
      <c r="D139" s="6">
        <f>1000/(Config!I5*0.85^B139*IF(B139&gt;=3,0.95,1)*IF(B139&gt;=5,0.95,1))</f>
        <v/>
      </c>
      <c r="E139" s="6" t="inlineStr">
        <is>
          <t>-</t>
        </is>
      </c>
      <c r="F139" s="6" t="inlineStr">
        <is>
          <t>-</t>
        </is>
      </c>
      <c r="G139" s="6" t="inlineStr"/>
    </row>
    <row r="140">
      <c r="A140" s="6" t="inlineStr">
        <is>
          <t>»急速射击</t>
        </is>
      </c>
      <c r="B140" s="6" t="n">
        <v>38</v>
      </c>
      <c r="C140" s="7" t="inlineStr">
        <is>
          <t>射击间隔 ×0.85（射速约 +17.6%）</t>
        </is>
      </c>
      <c r="D140" s="6">
        <f>1000/(Config!I5*0.85^B140*IF(B140&gt;=3,0.95,1)*IF(B140&gt;=5,0.95,1))</f>
        <v/>
      </c>
      <c r="E140" s="6" t="inlineStr">
        <is>
          <t>-</t>
        </is>
      </c>
      <c r="F140" s="6" t="inlineStr">
        <is>
          <t>-</t>
        </is>
      </c>
      <c r="G140" s="6" t="inlineStr"/>
    </row>
    <row r="141">
      <c r="A141" s="6" t="inlineStr">
        <is>
          <t>»急速射击</t>
        </is>
      </c>
      <c r="B141" s="6" t="n">
        <v>39</v>
      </c>
      <c r="C141" s="7" t="inlineStr">
        <is>
          <t>射击间隔 ×0.85（射速约 +17.6%）</t>
        </is>
      </c>
      <c r="D141" s="6">
        <f>1000/(Config!I5*0.85^B141*IF(B141&gt;=3,0.95,1)*IF(B141&gt;=5,0.95,1))</f>
        <v/>
      </c>
      <c r="E141" s="6" t="inlineStr">
        <is>
          <t>-</t>
        </is>
      </c>
      <c r="F141" s="6" t="inlineStr">
        <is>
          <t>-</t>
        </is>
      </c>
      <c r="G141" s="6" t="inlineStr"/>
    </row>
    <row r="142">
      <c r="A142" s="6" t="inlineStr">
        <is>
          <t>»急速射击</t>
        </is>
      </c>
      <c r="B142" s="6" t="n">
        <v>40</v>
      </c>
      <c r="C142" s="7" t="inlineStr">
        <is>
          <t>射击间隔 ×0.85（射速约 +17.6%）</t>
        </is>
      </c>
      <c r="D142" s="6">
        <f>1000/(Config!I5*0.85^B142*IF(B142&gt;=3,0.95,1)*IF(B142&gt;=5,0.95,1))</f>
        <v/>
      </c>
      <c r="E142" s="6" t="inlineStr">
        <is>
          <t>-</t>
        </is>
      </c>
      <c r="F142" s="6" t="inlineStr">
        <is>
          <t>-</t>
        </is>
      </c>
      <c r="G142" s="6" t="inlineStr"/>
    </row>
    <row r="143">
      <c r="A143" s="6" t="inlineStr">
        <is>
          <t>»急速射击</t>
        </is>
      </c>
      <c r="B143" s="6" t="n">
        <v>41</v>
      </c>
      <c r="C143" s="7" t="inlineStr">
        <is>
          <t>射击间隔 ×0.85（射速约 +17.6%）</t>
        </is>
      </c>
      <c r="D143" s="6">
        <f>1000/(Config!I5*0.85^B143*IF(B143&gt;=3,0.95,1)*IF(B143&gt;=5,0.95,1))</f>
        <v/>
      </c>
      <c r="E143" s="6" t="inlineStr">
        <is>
          <t>-</t>
        </is>
      </c>
      <c r="F143" s="6" t="inlineStr">
        <is>
          <t>-</t>
        </is>
      </c>
      <c r="G143" s="6" t="inlineStr"/>
    </row>
    <row r="144">
      <c r="A144" s="6" t="inlineStr">
        <is>
          <t>»急速射击</t>
        </is>
      </c>
      <c r="B144" s="6" t="n">
        <v>42</v>
      </c>
      <c r="C144" s="7" t="inlineStr">
        <is>
          <t>射击间隔 ×0.85（射速约 +17.6%）</t>
        </is>
      </c>
      <c r="D144" s="6">
        <f>1000/(Config!I5*0.85^B144*IF(B144&gt;=3,0.95,1)*IF(B144&gt;=5,0.95,1))</f>
        <v/>
      </c>
      <c r="E144" s="6" t="inlineStr">
        <is>
          <t>-</t>
        </is>
      </c>
      <c r="F144" s="6" t="inlineStr">
        <is>
          <t>-</t>
        </is>
      </c>
      <c r="G144" s="6" t="inlineStr"/>
    </row>
    <row r="145">
      <c r="A145" s="6" t="inlineStr">
        <is>
          <t>»急速射击</t>
        </is>
      </c>
      <c r="B145" s="6" t="n">
        <v>43</v>
      </c>
      <c r="C145" s="7" t="inlineStr">
        <is>
          <t>射击间隔 ×0.85（射速约 +17.6%）</t>
        </is>
      </c>
      <c r="D145" s="6">
        <f>1000/(Config!I5*0.85^B145*IF(B145&gt;=3,0.95,1)*IF(B145&gt;=5,0.95,1))</f>
        <v/>
      </c>
      <c r="E145" s="6" t="inlineStr">
        <is>
          <t>-</t>
        </is>
      </c>
      <c r="F145" s="6" t="inlineStr">
        <is>
          <t>-</t>
        </is>
      </c>
      <c r="G145" s="6" t="inlineStr"/>
    </row>
    <row r="146">
      <c r="A146" s="6" t="inlineStr">
        <is>
          <t>»急速射击</t>
        </is>
      </c>
      <c r="B146" s="6" t="n">
        <v>44</v>
      </c>
      <c r="C146" s="7" t="inlineStr">
        <is>
          <t>射击间隔 ×0.85（射速约 +17.6%）</t>
        </is>
      </c>
      <c r="D146" s="6">
        <f>1000/(Config!I5*0.85^B146*IF(B146&gt;=3,0.95,1)*IF(B146&gt;=5,0.95,1))</f>
        <v/>
      </c>
      <c r="E146" s="6" t="inlineStr">
        <is>
          <t>-</t>
        </is>
      </c>
      <c r="F146" s="6" t="inlineStr">
        <is>
          <t>-</t>
        </is>
      </c>
      <c r="G146" s="6" t="inlineStr"/>
    </row>
    <row r="147">
      <c r="A147" s="6" t="inlineStr">
        <is>
          <t>»急速射击</t>
        </is>
      </c>
      <c r="B147" s="6" t="n">
        <v>45</v>
      </c>
      <c r="C147" s="7" t="inlineStr">
        <is>
          <t>射击间隔 ×0.85（射速约 +17.6%）</t>
        </is>
      </c>
      <c r="D147" s="6">
        <f>1000/(Config!I5*0.85^B147*IF(B147&gt;=3,0.95,1)*IF(B147&gt;=5,0.95,1))</f>
        <v/>
      </c>
      <c r="E147" s="6" t="inlineStr">
        <is>
          <t>-</t>
        </is>
      </c>
      <c r="F147" s="6" t="inlineStr">
        <is>
          <t>-</t>
        </is>
      </c>
      <c r="G147" s="6" t="inlineStr"/>
    </row>
    <row r="148">
      <c r="A148" s="6" t="inlineStr">
        <is>
          <t>»急速射击</t>
        </is>
      </c>
      <c r="B148" s="6" t="n">
        <v>46</v>
      </c>
      <c r="C148" s="7" t="inlineStr">
        <is>
          <t>射击间隔 ×0.85（射速约 +17.6%）</t>
        </is>
      </c>
      <c r="D148" s="6">
        <f>1000/(Config!I5*0.85^B148*IF(B148&gt;=3,0.95,1)*IF(B148&gt;=5,0.95,1))</f>
        <v/>
      </c>
      <c r="E148" s="6" t="inlineStr">
        <is>
          <t>-</t>
        </is>
      </c>
      <c r="F148" s="6" t="inlineStr">
        <is>
          <t>-</t>
        </is>
      </c>
      <c r="G148" s="6" t="inlineStr"/>
    </row>
    <row r="149">
      <c r="A149" s="6" t="inlineStr">
        <is>
          <t>»急速射击</t>
        </is>
      </c>
      <c r="B149" s="6" t="n">
        <v>47</v>
      </c>
      <c r="C149" s="7" t="inlineStr">
        <is>
          <t>射击间隔 ×0.85（射速约 +17.6%）</t>
        </is>
      </c>
      <c r="D149" s="6">
        <f>1000/(Config!I5*0.85^B149*IF(B149&gt;=3,0.95,1)*IF(B149&gt;=5,0.95,1))</f>
        <v/>
      </c>
      <c r="E149" s="6" t="inlineStr">
        <is>
          <t>-</t>
        </is>
      </c>
      <c r="F149" s="6" t="inlineStr">
        <is>
          <t>-</t>
        </is>
      </c>
      <c r="G149" s="6" t="inlineStr"/>
    </row>
    <row r="150">
      <c r="A150" s="6" t="inlineStr">
        <is>
          <t>»急速射击</t>
        </is>
      </c>
      <c r="B150" s="6" t="n">
        <v>48</v>
      </c>
      <c r="C150" s="7" t="inlineStr">
        <is>
          <t>射击间隔 ×0.85（射速约 +17.6%）</t>
        </is>
      </c>
      <c r="D150" s="6">
        <f>1000/(Config!I5*0.85^B150*IF(B150&gt;=3,0.95,1)*IF(B150&gt;=5,0.95,1))</f>
        <v/>
      </c>
      <c r="E150" s="6" t="inlineStr">
        <is>
          <t>-</t>
        </is>
      </c>
      <c r="F150" s="6" t="inlineStr">
        <is>
          <t>-</t>
        </is>
      </c>
      <c r="G150" s="6" t="inlineStr"/>
    </row>
    <row r="151">
      <c r="A151" s="6" t="inlineStr">
        <is>
          <t>»急速射击</t>
        </is>
      </c>
      <c r="B151" s="6" t="n">
        <v>49</v>
      </c>
      <c r="C151" s="7" t="inlineStr">
        <is>
          <t>射击间隔 ×0.85（射速约 +17.6%）</t>
        </is>
      </c>
      <c r="D151" s="6">
        <f>1000/(Config!I5*0.85^B151*IF(B151&gt;=3,0.95,1)*IF(B151&gt;=5,0.95,1))</f>
        <v/>
      </c>
      <c r="E151" s="6" t="inlineStr">
        <is>
          <t>-</t>
        </is>
      </c>
      <c r="F151" s="6" t="inlineStr">
        <is>
          <t>-</t>
        </is>
      </c>
      <c r="G151" s="6" t="inlineStr"/>
    </row>
    <row r="152">
      <c r="A152" s="6" t="inlineStr">
        <is>
          <t>»急速射击</t>
        </is>
      </c>
      <c r="B152" s="6" t="n">
        <v>50</v>
      </c>
      <c r="C152" s="7" t="inlineStr">
        <is>
          <t>射击间隔 ×0.85（射速约 +17.6%）</t>
        </is>
      </c>
      <c r="D152" s="6">
        <f>1000/(Config!I5*0.85^B152*IF(B152&gt;=3,0.95,1)*IF(B152&gt;=5,0.95,1))</f>
        <v/>
      </c>
      <c r="E152" s="6" t="inlineStr">
        <is>
          <t>-</t>
        </is>
      </c>
      <c r="F152" s="6" t="inlineStr">
        <is>
          <t>-</t>
        </is>
      </c>
      <c r="G152" s="6" t="inlineStr"/>
    </row>
    <row r="153">
      <c r="A153" s="6" t="inlineStr">
        <is>
          <t>»急速射击</t>
        </is>
      </c>
      <c r="B153" s="6" t="n">
        <v>51</v>
      </c>
      <c r="C153" s="7" t="inlineStr">
        <is>
          <t>射击间隔 ×0.85（射速约 +17.6%）</t>
        </is>
      </c>
      <c r="D153" s="6">
        <f>1000/(Config!I5*0.85^B153*IF(B153&gt;=3,0.95,1)*IF(B153&gt;=5,0.95,1))</f>
        <v/>
      </c>
      <c r="E153" s="6" t="inlineStr">
        <is>
          <t>-</t>
        </is>
      </c>
      <c r="F153" s="6" t="inlineStr">
        <is>
          <t>-</t>
        </is>
      </c>
      <c r="G153" s="6" t="inlineStr"/>
    </row>
    <row r="154">
      <c r="A154" s="6" t="inlineStr">
        <is>
          <t>»急速射击</t>
        </is>
      </c>
      <c r="B154" s="6" t="n">
        <v>52</v>
      </c>
      <c r="C154" s="7" t="inlineStr">
        <is>
          <t>射击间隔 ×0.85（射速约 +17.6%）</t>
        </is>
      </c>
      <c r="D154" s="6">
        <f>1000/(Config!I5*0.85^B154*IF(B154&gt;=3,0.95,1)*IF(B154&gt;=5,0.95,1))</f>
        <v/>
      </c>
      <c r="E154" s="6" t="inlineStr">
        <is>
          <t>-</t>
        </is>
      </c>
      <c r="F154" s="6" t="inlineStr">
        <is>
          <t>-</t>
        </is>
      </c>
      <c r="G154" s="6" t="inlineStr"/>
    </row>
    <row r="155">
      <c r="A155" s="6" t="inlineStr">
        <is>
          <t>»急速射击</t>
        </is>
      </c>
      <c r="B155" s="6" t="n">
        <v>53</v>
      </c>
      <c r="C155" s="7" t="inlineStr">
        <is>
          <t>射击间隔 ×0.85（射速约 +17.6%）</t>
        </is>
      </c>
      <c r="D155" s="6">
        <f>1000/(Config!I5*0.85^B155*IF(B155&gt;=3,0.95,1)*IF(B155&gt;=5,0.95,1))</f>
        <v/>
      </c>
      <c r="E155" s="6" t="inlineStr">
        <is>
          <t>-</t>
        </is>
      </c>
      <c r="F155" s="6" t="inlineStr">
        <is>
          <t>-</t>
        </is>
      </c>
      <c r="G155" s="6" t="inlineStr"/>
    </row>
    <row r="156">
      <c r="A156" s="6" t="inlineStr">
        <is>
          <t>»急速射击</t>
        </is>
      </c>
      <c r="B156" s="6" t="n">
        <v>54</v>
      </c>
      <c r="C156" s="7" t="inlineStr">
        <is>
          <t>射击间隔 ×0.85（射速约 +17.6%）</t>
        </is>
      </c>
      <c r="D156" s="6">
        <f>1000/(Config!I5*0.85^B156*IF(B156&gt;=3,0.95,1)*IF(B156&gt;=5,0.95,1))</f>
        <v/>
      </c>
      <c r="E156" s="6" t="inlineStr">
        <is>
          <t>-</t>
        </is>
      </c>
      <c r="F156" s="6" t="inlineStr">
        <is>
          <t>-</t>
        </is>
      </c>
      <c r="G156" s="6" t="inlineStr"/>
    </row>
    <row r="157">
      <c r="A157" s="6" t="inlineStr">
        <is>
          <t>»急速射击</t>
        </is>
      </c>
      <c r="B157" s="6" t="n">
        <v>55</v>
      </c>
      <c r="C157" s="7" t="inlineStr">
        <is>
          <t>射击间隔 ×0.85（射速约 +17.6%）</t>
        </is>
      </c>
      <c r="D157" s="6">
        <f>1000/(Config!I5*0.85^B157*IF(B157&gt;=3,0.95,1)*IF(B157&gt;=5,0.95,1))</f>
        <v/>
      </c>
      <c r="E157" s="6" t="inlineStr">
        <is>
          <t>-</t>
        </is>
      </c>
      <c r="F157" s="6" t="inlineStr">
        <is>
          <t>-</t>
        </is>
      </c>
      <c r="G157" s="6" t="inlineStr"/>
    </row>
    <row r="158">
      <c r="A158" s="6" t="inlineStr">
        <is>
          <t>»急速射击</t>
        </is>
      </c>
      <c r="B158" s="6" t="n">
        <v>56</v>
      </c>
      <c r="C158" s="7" t="inlineStr">
        <is>
          <t>射击间隔 ×0.85（射速约 +17.6%）</t>
        </is>
      </c>
      <c r="D158" s="6">
        <f>1000/(Config!I5*0.85^B158*IF(B158&gt;=3,0.95,1)*IF(B158&gt;=5,0.95,1))</f>
        <v/>
      </c>
      <c r="E158" s="6" t="inlineStr">
        <is>
          <t>-</t>
        </is>
      </c>
      <c r="F158" s="6" t="inlineStr">
        <is>
          <t>-</t>
        </is>
      </c>
      <c r="G158" s="6" t="inlineStr"/>
    </row>
    <row r="159">
      <c r="A159" s="6" t="inlineStr">
        <is>
          <t>»急速射击</t>
        </is>
      </c>
      <c r="B159" s="6" t="n">
        <v>57</v>
      </c>
      <c r="C159" s="7" t="inlineStr">
        <is>
          <t>射击间隔 ×0.85（射速约 +17.6%）</t>
        </is>
      </c>
      <c r="D159" s="6">
        <f>1000/(Config!I5*0.85^B159*IF(B159&gt;=3,0.95,1)*IF(B159&gt;=5,0.95,1))</f>
        <v/>
      </c>
      <c r="E159" s="6" t="inlineStr">
        <is>
          <t>-</t>
        </is>
      </c>
      <c r="F159" s="6" t="inlineStr">
        <is>
          <t>-</t>
        </is>
      </c>
      <c r="G159" s="6" t="inlineStr"/>
    </row>
    <row r="160">
      <c r="A160" s="6" t="inlineStr">
        <is>
          <t>»急速射击</t>
        </is>
      </c>
      <c r="B160" s="6" t="n">
        <v>58</v>
      </c>
      <c r="C160" s="7" t="inlineStr">
        <is>
          <t>射击间隔 ×0.85（射速约 +17.6%）</t>
        </is>
      </c>
      <c r="D160" s="6">
        <f>1000/(Config!I5*0.85^B160*IF(B160&gt;=3,0.95,1)*IF(B160&gt;=5,0.95,1))</f>
        <v/>
      </c>
      <c r="E160" s="6" t="inlineStr">
        <is>
          <t>-</t>
        </is>
      </c>
      <c r="F160" s="6" t="inlineStr">
        <is>
          <t>-</t>
        </is>
      </c>
      <c r="G160" s="6" t="inlineStr"/>
    </row>
    <row r="161">
      <c r="A161" s="6" t="inlineStr">
        <is>
          <t>»急速射击</t>
        </is>
      </c>
      <c r="B161" s="6" t="n">
        <v>59</v>
      </c>
      <c r="C161" s="7" t="inlineStr">
        <is>
          <t>射击间隔 ×0.85（射速约 +17.6%）</t>
        </is>
      </c>
      <c r="D161" s="6">
        <f>1000/(Config!I5*0.85^B161*IF(B161&gt;=3,0.95,1)*IF(B161&gt;=5,0.95,1))</f>
        <v/>
      </c>
      <c r="E161" s="6" t="inlineStr">
        <is>
          <t>-</t>
        </is>
      </c>
      <c r="F161" s="6" t="inlineStr">
        <is>
          <t>-</t>
        </is>
      </c>
      <c r="G161" s="6" t="inlineStr"/>
    </row>
    <row r="162">
      <c r="A162" s="6" t="inlineStr">
        <is>
          <t>»急速射击</t>
        </is>
      </c>
      <c r="B162" s="6" t="n">
        <v>60</v>
      </c>
      <c r="C162" s="7" t="inlineStr">
        <is>
          <t>射击间隔 ×0.85（射速约 +17.6%）</t>
        </is>
      </c>
      <c r="D162" s="6">
        <f>1000/(Config!I5*0.85^B162*IF(B162&gt;=3,0.95,1)*IF(B162&gt;=5,0.95,1))</f>
        <v/>
      </c>
      <c r="E162" s="6" t="inlineStr">
        <is>
          <t>-</t>
        </is>
      </c>
      <c r="F162" s="6" t="inlineStr">
        <is>
          <t>-</t>
        </is>
      </c>
      <c r="G162" s="6" t="inlineStr"/>
    </row>
    <row r="163">
      <c r="A163" s="6" t="inlineStr">
        <is>
          <t>»急速射击</t>
        </is>
      </c>
      <c r="B163" s="6" t="n">
        <v>61</v>
      </c>
      <c r="C163" s="7" t="inlineStr">
        <is>
          <t>射击间隔 ×0.85（射速约 +17.6%）</t>
        </is>
      </c>
      <c r="D163" s="6">
        <f>1000/(Config!I5*0.85^B163*IF(B163&gt;=3,0.95,1)*IF(B163&gt;=5,0.95,1))</f>
        <v/>
      </c>
      <c r="E163" s="6" t="inlineStr">
        <is>
          <t>-</t>
        </is>
      </c>
      <c r="F163" s="6" t="inlineStr">
        <is>
          <t>-</t>
        </is>
      </c>
      <c r="G163" s="6" t="inlineStr"/>
    </row>
    <row r="164">
      <c r="A164" s="6" t="inlineStr">
        <is>
          <t>»急速射击</t>
        </is>
      </c>
      <c r="B164" s="6" t="n">
        <v>62</v>
      </c>
      <c r="C164" s="7" t="inlineStr">
        <is>
          <t>射击间隔 ×0.85（射速约 +17.6%）</t>
        </is>
      </c>
      <c r="D164" s="6">
        <f>1000/(Config!I5*0.85^B164*IF(B164&gt;=3,0.95,1)*IF(B164&gt;=5,0.95,1))</f>
        <v/>
      </c>
      <c r="E164" s="6" t="inlineStr">
        <is>
          <t>-</t>
        </is>
      </c>
      <c r="F164" s="6" t="inlineStr">
        <is>
          <t>-</t>
        </is>
      </c>
      <c r="G164" s="6" t="inlineStr"/>
    </row>
    <row r="165">
      <c r="A165" s="6" t="inlineStr">
        <is>
          <t>»急速射击</t>
        </is>
      </c>
      <c r="B165" s="6" t="n">
        <v>63</v>
      </c>
      <c r="C165" s="7" t="inlineStr">
        <is>
          <t>射击间隔 ×0.85（射速约 +17.6%）</t>
        </is>
      </c>
      <c r="D165" s="6">
        <f>1000/(Config!I5*0.85^B165*IF(B165&gt;=3,0.95,1)*IF(B165&gt;=5,0.95,1))</f>
        <v/>
      </c>
      <c r="E165" s="6" t="inlineStr">
        <is>
          <t>-</t>
        </is>
      </c>
      <c r="F165" s="6" t="inlineStr">
        <is>
          <t>-</t>
        </is>
      </c>
      <c r="G165" s="6" t="inlineStr"/>
    </row>
    <row r="166">
      <c r="A166" s="6" t="inlineStr">
        <is>
          <t>»急速射击</t>
        </is>
      </c>
      <c r="B166" s="6" t="n">
        <v>64</v>
      </c>
      <c r="C166" s="7" t="inlineStr">
        <is>
          <t>射击间隔 ×0.85（射速约 +17.6%）</t>
        </is>
      </c>
      <c r="D166" s="6">
        <f>1000/(Config!I5*0.85^B166*IF(B166&gt;=3,0.95,1)*IF(B166&gt;=5,0.95,1))</f>
        <v/>
      </c>
      <c r="E166" s="6" t="inlineStr">
        <is>
          <t>-</t>
        </is>
      </c>
      <c r="F166" s="6" t="inlineStr">
        <is>
          <t>-</t>
        </is>
      </c>
      <c r="G166" s="6" t="inlineStr"/>
    </row>
    <row r="167">
      <c r="A167" s="6" t="inlineStr">
        <is>
          <t>»急速射击</t>
        </is>
      </c>
      <c r="B167" s="6" t="n">
        <v>65</v>
      </c>
      <c r="C167" s="7" t="inlineStr">
        <is>
          <t>射击间隔 ×0.85（射速约 +17.6%）</t>
        </is>
      </c>
      <c r="D167" s="6">
        <f>1000/(Config!I5*0.85^B167*IF(B167&gt;=3,0.95,1)*IF(B167&gt;=5,0.95,1))</f>
        <v/>
      </c>
      <c r="E167" s="6" t="inlineStr">
        <is>
          <t>-</t>
        </is>
      </c>
      <c r="F167" s="6" t="inlineStr">
        <is>
          <t>-</t>
        </is>
      </c>
      <c r="G167" s="6" t="inlineStr"/>
    </row>
    <row r="168">
      <c r="A168" s="6" t="inlineStr">
        <is>
          <t>»急速射击</t>
        </is>
      </c>
      <c r="B168" s="6" t="n">
        <v>66</v>
      </c>
      <c r="C168" s="7" t="inlineStr">
        <is>
          <t>射击间隔 ×0.85（射速约 +17.6%）</t>
        </is>
      </c>
      <c r="D168" s="6">
        <f>1000/(Config!I5*0.85^B168*IF(B168&gt;=3,0.95,1)*IF(B168&gt;=5,0.95,1))</f>
        <v/>
      </c>
      <c r="E168" s="6" t="inlineStr">
        <is>
          <t>-</t>
        </is>
      </c>
      <c r="F168" s="6" t="inlineStr">
        <is>
          <t>-</t>
        </is>
      </c>
      <c r="G168" s="6" t="inlineStr"/>
    </row>
    <row r="169">
      <c r="A169" s="6" t="inlineStr">
        <is>
          <t>»急速射击</t>
        </is>
      </c>
      <c r="B169" s="6" t="n">
        <v>67</v>
      </c>
      <c r="C169" s="7" t="inlineStr">
        <is>
          <t>射击间隔 ×0.85（射速约 +17.6%）</t>
        </is>
      </c>
      <c r="D169" s="6">
        <f>1000/(Config!I5*0.85^B169*IF(B169&gt;=3,0.95,1)*IF(B169&gt;=5,0.95,1))</f>
        <v/>
      </c>
      <c r="E169" s="6" t="inlineStr">
        <is>
          <t>-</t>
        </is>
      </c>
      <c r="F169" s="6" t="inlineStr">
        <is>
          <t>-</t>
        </is>
      </c>
      <c r="G169" s="6" t="inlineStr"/>
    </row>
    <row r="170">
      <c r="A170" s="6" t="inlineStr">
        <is>
          <t>»急速射击</t>
        </is>
      </c>
      <c r="B170" s="6" t="n">
        <v>68</v>
      </c>
      <c r="C170" s="7" t="inlineStr">
        <is>
          <t>射击间隔 ×0.85（射速约 +17.6%）</t>
        </is>
      </c>
      <c r="D170" s="6">
        <f>1000/(Config!I5*0.85^B170*IF(B170&gt;=3,0.95,1)*IF(B170&gt;=5,0.95,1))</f>
        <v/>
      </c>
      <c r="E170" s="6" t="inlineStr">
        <is>
          <t>-</t>
        </is>
      </c>
      <c r="F170" s="6" t="inlineStr">
        <is>
          <t>-</t>
        </is>
      </c>
      <c r="G170" s="6" t="inlineStr"/>
    </row>
    <row r="171">
      <c r="A171" s="6" t="inlineStr">
        <is>
          <t>»急速射击</t>
        </is>
      </c>
      <c r="B171" s="6" t="n">
        <v>69</v>
      </c>
      <c r="C171" s="7" t="inlineStr">
        <is>
          <t>射击间隔 ×0.85（射速约 +17.6%）</t>
        </is>
      </c>
      <c r="D171" s="6">
        <f>1000/(Config!I5*0.85^B171*IF(B171&gt;=3,0.95,1)*IF(B171&gt;=5,0.95,1))</f>
        <v/>
      </c>
      <c r="E171" s="6" t="inlineStr">
        <is>
          <t>-</t>
        </is>
      </c>
      <c r="F171" s="6" t="inlineStr">
        <is>
          <t>-</t>
        </is>
      </c>
      <c r="G171" s="6" t="inlineStr"/>
    </row>
    <row r="172">
      <c r="A172" s="6" t="inlineStr">
        <is>
          <t>»急速射击</t>
        </is>
      </c>
      <c r="B172" s="6" t="n">
        <v>70</v>
      </c>
      <c r="C172" s="7" t="inlineStr">
        <is>
          <t>射击间隔 ×0.85（射速约 +17.6%）</t>
        </is>
      </c>
      <c r="D172" s="6">
        <f>1000/(Config!I5*0.85^B172*IF(B172&gt;=3,0.95,1)*IF(B172&gt;=5,0.95,1))</f>
        <v/>
      </c>
      <c r="E172" s="6" t="inlineStr">
        <is>
          <t>-</t>
        </is>
      </c>
      <c r="F172" s="6" t="inlineStr">
        <is>
          <t>-</t>
        </is>
      </c>
      <c r="G172" s="6" t="inlineStr"/>
    </row>
    <row r="173">
      <c r="A173" s="6" t="inlineStr">
        <is>
          <t>»急速射击</t>
        </is>
      </c>
      <c r="B173" s="6" t="n">
        <v>71</v>
      </c>
      <c r="C173" s="7" t="inlineStr">
        <is>
          <t>射击间隔 ×0.85（射速约 +17.6%）</t>
        </is>
      </c>
      <c r="D173" s="6">
        <f>1000/(Config!I5*0.85^B173*IF(B173&gt;=3,0.95,1)*IF(B173&gt;=5,0.95,1))</f>
        <v/>
      </c>
      <c r="E173" s="6" t="inlineStr">
        <is>
          <t>-</t>
        </is>
      </c>
      <c r="F173" s="6" t="inlineStr">
        <is>
          <t>-</t>
        </is>
      </c>
      <c r="G173" s="6" t="inlineStr"/>
    </row>
    <row r="174">
      <c r="A174" s="6" t="inlineStr">
        <is>
          <t>»急速射击</t>
        </is>
      </c>
      <c r="B174" s="6" t="n">
        <v>72</v>
      </c>
      <c r="C174" s="7" t="inlineStr">
        <is>
          <t>射击间隔 ×0.85（射速约 +17.6%）</t>
        </is>
      </c>
      <c r="D174" s="6">
        <f>1000/(Config!I5*0.85^B174*IF(B174&gt;=3,0.95,1)*IF(B174&gt;=5,0.95,1))</f>
        <v/>
      </c>
      <c r="E174" s="6" t="inlineStr">
        <is>
          <t>-</t>
        </is>
      </c>
      <c r="F174" s="6" t="inlineStr">
        <is>
          <t>-</t>
        </is>
      </c>
      <c r="G174" s="6" t="inlineStr"/>
    </row>
    <row r="175">
      <c r="A175" s="6" t="inlineStr">
        <is>
          <t>»急速射击</t>
        </is>
      </c>
      <c r="B175" s="6" t="n">
        <v>73</v>
      </c>
      <c r="C175" s="7" t="inlineStr">
        <is>
          <t>射击间隔 ×0.85（射速约 +17.6%）</t>
        </is>
      </c>
      <c r="D175" s="6">
        <f>1000/(Config!I5*0.85^B175*IF(B175&gt;=3,0.95,1)*IF(B175&gt;=5,0.95,1))</f>
        <v/>
      </c>
      <c r="E175" s="6" t="inlineStr">
        <is>
          <t>-</t>
        </is>
      </c>
      <c r="F175" s="6" t="inlineStr">
        <is>
          <t>-</t>
        </is>
      </c>
      <c r="G175" s="6" t="inlineStr"/>
    </row>
    <row r="176">
      <c r="A176" s="6" t="inlineStr">
        <is>
          <t>»急速射击</t>
        </is>
      </c>
      <c r="B176" s="6" t="n">
        <v>74</v>
      </c>
      <c r="C176" s="7" t="inlineStr">
        <is>
          <t>射击间隔 ×0.85（射速约 +17.6%）</t>
        </is>
      </c>
      <c r="D176" s="6">
        <f>1000/(Config!I5*0.85^B176*IF(B176&gt;=3,0.95,1)*IF(B176&gt;=5,0.95,1))</f>
        <v/>
      </c>
      <c r="E176" s="6" t="inlineStr">
        <is>
          <t>-</t>
        </is>
      </c>
      <c r="F176" s="6" t="inlineStr">
        <is>
          <t>-</t>
        </is>
      </c>
      <c r="G176" s="6" t="inlineStr"/>
    </row>
    <row r="177">
      <c r="A177" s="6" t="inlineStr">
        <is>
          <t>»急速射击</t>
        </is>
      </c>
      <c r="B177" s="6" t="n">
        <v>75</v>
      </c>
      <c r="C177" s="7" t="inlineStr">
        <is>
          <t>射击间隔 ×0.85（射速约 +17.6%）</t>
        </is>
      </c>
      <c r="D177" s="6">
        <f>1000/(Config!I5*0.85^B177*IF(B177&gt;=3,0.95,1)*IF(B177&gt;=5,0.95,1))</f>
        <v/>
      </c>
      <c r="E177" s="6" t="inlineStr">
        <is>
          <t>-</t>
        </is>
      </c>
      <c r="F177" s="6" t="inlineStr">
        <is>
          <t>-</t>
        </is>
      </c>
      <c r="G177" s="6" t="inlineStr"/>
    </row>
    <row r="178">
      <c r="A178" s="6" t="inlineStr">
        <is>
          <t>»急速射击</t>
        </is>
      </c>
      <c r="B178" s="6" t="n">
        <v>76</v>
      </c>
      <c r="C178" s="7" t="inlineStr">
        <is>
          <t>射击间隔 ×0.85（射速约 +17.6%）</t>
        </is>
      </c>
      <c r="D178" s="6">
        <f>1000/(Config!I5*0.85^B178*IF(B178&gt;=3,0.95,1)*IF(B178&gt;=5,0.95,1))</f>
        <v/>
      </c>
      <c r="E178" s="6" t="inlineStr">
        <is>
          <t>-</t>
        </is>
      </c>
      <c r="F178" s="6" t="inlineStr">
        <is>
          <t>-</t>
        </is>
      </c>
      <c r="G178" s="6" t="inlineStr"/>
    </row>
    <row r="179">
      <c r="A179" s="6" t="inlineStr">
        <is>
          <t>»急速射击</t>
        </is>
      </c>
      <c r="B179" s="6" t="n">
        <v>77</v>
      </c>
      <c r="C179" s="7" t="inlineStr">
        <is>
          <t>射击间隔 ×0.85（射速约 +17.6%）</t>
        </is>
      </c>
      <c r="D179" s="6">
        <f>1000/(Config!I5*0.85^B179*IF(B179&gt;=3,0.95,1)*IF(B179&gt;=5,0.95,1))</f>
        <v/>
      </c>
      <c r="E179" s="6" t="inlineStr">
        <is>
          <t>-</t>
        </is>
      </c>
      <c r="F179" s="6" t="inlineStr">
        <is>
          <t>-</t>
        </is>
      </c>
      <c r="G179" s="6" t="inlineStr"/>
    </row>
    <row r="180">
      <c r="A180" s="6" t="inlineStr">
        <is>
          <t>»急速射击</t>
        </is>
      </c>
      <c r="B180" s="6" t="n">
        <v>78</v>
      </c>
      <c r="C180" s="7" t="inlineStr">
        <is>
          <t>射击间隔 ×0.85（射速约 +17.6%）</t>
        </is>
      </c>
      <c r="D180" s="6">
        <f>1000/(Config!I5*0.85^B180*IF(B180&gt;=3,0.95,1)*IF(B180&gt;=5,0.95,1))</f>
        <v/>
      </c>
      <c r="E180" s="6" t="inlineStr">
        <is>
          <t>-</t>
        </is>
      </c>
      <c r="F180" s="6" t="inlineStr">
        <is>
          <t>-</t>
        </is>
      </c>
      <c r="G180" s="6" t="inlineStr"/>
    </row>
    <row r="181">
      <c r="A181" s="6" t="inlineStr">
        <is>
          <t>»急速射击</t>
        </is>
      </c>
      <c r="B181" s="6" t="n">
        <v>79</v>
      </c>
      <c r="C181" s="7" t="inlineStr">
        <is>
          <t>射击间隔 ×0.85（射速约 +17.6%）</t>
        </is>
      </c>
      <c r="D181" s="6">
        <f>1000/(Config!I5*0.85^B181*IF(B181&gt;=3,0.95,1)*IF(B181&gt;=5,0.95,1))</f>
        <v/>
      </c>
      <c r="E181" s="6" t="inlineStr">
        <is>
          <t>-</t>
        </is>
      </c>
      <c r="F181" s="6" t="inlineStr">
        <is>
          <t>-</t>
        </is>
      </c>
      <c r="G181" s="6" t="inlineStr"/>
    </row>
    <row r="182">
      <c r="A182" s="6" t="inlineStr">
        <is>
          <t>»急速射击</t>
        </is>
      </c>
      <c r="B182" s="6" t="n">
        <v>80</v>
      </c>
      <c r="C182" s="7" t="inlineStr">
        <is>
          <t>射击间隔 ×0.85（射速约 +17.6%）</t>
        </is>
      </c>
      <c r="D182" s="6">
        <f>1000/(Config!I5*0.85^B182*IF(B182&gt;=3,0.95,1)*IF(B182&gt;=5,0.95,1))</f>
        <v/>
      </c>
      <c r="E182" s="6" t="inlineStr">
        <is>
          <t>-</t>
        </is>
      </c>
      <c r="F182" s="6" t="inlineStr">
        <is>
          <t>-</t>
        </is>
      </c>
      <c r="G182" s="6" t="inlineStr"/>
    </row>
    <row r="183">
      <c r="A183" s="6" t="inlineStr">
        <is>
          <t>»急速射击</t>
        </is>
      </c>
      <c r="B183" s="6" t="n">
        <v>81</v>
      </c>
      <c r="C183" s="7" t="inlineStr">
        <is>
          <t>射击间隔 ×0.85（射速约 +17.6%）</t>
        </is>
      </c>
      <c r="D183" s="6">
        <f>1000/(Config!I5*0.85^B183*IF(B183&gt;=3,0.95,1)*IF(B183&gt;=5,0.95,1))</f>
        <v/>
      </c>
      <c r="E183" s="6" t="inlineStr">
        <is>
          <t>-</t>
        </is>
      </c>
      <c r="F183" s="6" t="inlineStr">
        <is>
          <t>-</t>
        </is>
      </c>
      <c r="G183" s="6" t="inlineStr"/>
    </row>
    <row r="184">
      <c r="A184" s="6" t="inlineStr">
        <is>
          <t>»急速射击</t>
        </is>
      </c>
      <c r="B184" s="6" t="n">
        <v>82</v>
      </c>
      <c r="C184" s="7" t="inlineStr">
        <is>
          <t>射击间隔 ×0.85（射速约 +17.6%）</t>
        </is>
      </c>
      <c r="D184" s="6">
        <f>1000/(Config!I5*0.85^B184*IF(B184&gt;=3,0.95,1)*IF(B184&gt;=5,0.95,1))</f>
        <v/>
      </c>
      <c r="E184" s="6" t="inlineStr">
        <is>
          <t>-</t>
        </is>
      </c>
      <c r="F184" s="6" t="inlineStr">
        <is>
          <t>-</t>
        </is>
      </c>
      <c r="G184" s="6" t="inlineStr"/>
    </row>
    <row r="185">
      <c r="A185" s="6" t="inlineStr">
        <is>
          <t>»急速射击</t>
        </is>
      </c>
      <c r="B185" s="6" t="n">
        <v>83</v>
      </c>
      <c r="C185" s="7" t="inlineStr">
        <is>
          <t>射击间隔 ×0.85（射速约 +17.6%）</t>
        </is>
      </c>
      <c r="D185" s="6">
        <f>1000/(Config!I5*0.85^B185*IF(B185&gt;=3,0.95,1)*IF(B185&gt;=5,0.95,1))</f>
        <v/>
      </c>
      <c r="E185" s="6" t="inlineStr">
        <is>
          <t>-</t>
        </is>
      </c>
      <c r="F185" s="6" t="inlineStr">
        <is>
          <t>-</t>
        </is>
      </c>
      <c r="G185" s="6" t="inlineStr"/>
    </row>
    <row r="186">
      <c r="A186" s="6" t="inlineStr">
        <is>
          <t>»急速射击</t>
        </is>
      </c>
      <c r="B186" s="6" t="n">
        <v>84</v>
      </c>
      <c r="C186" s="7" t="inlineStr">
        <is>
          <t>射击间隔 ×0.85（射速约 +17.6%）</t>
        </is>
      </c>
      <c r="D186" s="6">
        <f>1000/(Config!I5*0.85^B186*IF(B186&gt;=3,0.95,1)*IF(B186&gt;=5,0.95,1))</f>
        <v/>
      </c>
      <c r="E186" s="6" t="inlineStr">
        <is>
          <t>-</t>
        </is>
      </c>
      <c r="F186" s="6" t="inlineStr">
        <is>
          <t>-</t>
        </is>
      </c>
      <c r="G186" s="6" t="inlineStr"/>
    </row>
    <row r="187">
      <c r="A187" s="6" t="inlineStr">
        <is>
          <t>»急速射击</t>
        </is>
      </c>
      <c r="B187" s="6" t="n">
        <v>85</v>
      </c>
      <c r="C187" s="7" t="inlineStr">
        <is>
          <t>射击间隔 ×0.85（射速约 +17.6%）</t>
        </is>
      </c>
      <c r="D187" s="6">
        <f>1000/(Config!I5*0.85^B187*IF(B187&gt;=3,0.95,1)*IF(B187&gt;=5,0.95,1))</f>
        <v/>
      </c>
      <c r="E187" s="6" t="inlineStr">
        <is>
          <t>-</t>
        </is>
      </c>
      <c r="F187" s="6" t="inlineStr">
        <is>
          <t>-</t>
        </is>
      </c>
      <c r="G187" s="6" t="inlineStr"/>
    </row>
    <row r="188">
      <c r="A188" s="6" t="inlineStr">
        <is>
          <t>»急速射击</t>
        </is>
      </c>
      <c r="B188" s="6" t="n">
        <v>86</v>
      </c>
      <c r="C188" s="7" t="inlineStr">
        <is>
          <t>射击间隔 ×0.85（射速约 +17.6%）</t>
        </is>
      </c>
      <c r="D188" s="6">
        <f>1000/(Config!I5*0.85^B188*IF(B188&gt;=3,0.95,1)*IF(B188&gt;=5,0.95,1))</f>
        <v/>
      </c>
      <c r="E188" s="6" t="inlineStr">
        <is>
          <t>-</t>
        </is>
      </c>
      <c r="F188" s="6" t="inlineStr">
        <is>
          <t>-</t>
        </is>
      </c>
      <c r="G188" s="6" t="inlineStr"/>
    </row>
    <row r="189">
      <c r="A189" s="6" t="inlineStr">
        <is>
          <t>»急速射击</t>
        </is>
      </c>
      <c r="B189" s="6" t="n">
        <v>87</v>
      </c>
      <c r="C189" s="7" t="inlineStr">
        <is>
          <t>射击间隔 ×0.85（射速约 +17.6%）</t>
        </is>
      </c>
      <c r="D189" s="6">
        <f>1000/(Config!I5*0.85^B189*IF(B189&gt;=3,0.95,1)*IF(B189&gt;=5,0.95,1))</f>
        <v/>
      </c>
      <c r="E189" s="6" t="inlineStr">
        <is>
          <t>-</t>
        </is>
      </c>
      <c r="F189" s="6" t="inlineStr">
        <is>
          <t>-</t>
        </is>
      </c>
      <c r="G189" s="6" t="inlineStr"/>
    </row>
    <row r="190">
      <c r="A190" s="6" t="inlineStr">
        <is>
          <t>»急速射击</t>
        </is>
      </c>
      <c r="B190" s="6" t="n">
        <v>88</v>
      </c>
      <c r="C190" s="7" t="inlineStr">
        <is>
          <t>射击间隔 ×0.85（射速约 +17.6%）</t>
        </is>
      </c>
      <c r="D190" s="6">
        <f>1000/(Config!I5*0.85^B190*IF(B190&gt;=3,0.95,1)*IF(B190&gt;=5,0.95,1))</f>
        <v/>
      </c>
      <c r="E190" s="6" t="inlineStr">
        <is>
          <t>-</t>
        </is>
      </c>
      <c r="F190" s="6" t="inlineStr">
        <is>
          <t>-</t>
        </is>
      </c>
      <c r="G190" s="6" t="inlineStr"/>
    </row>
    <row r="191">
      <c r="A191" s="6" t="inlineStr">
        <is>
          <t>»急速射击</t>
        </is>
      </c>
      <c r="B191" s="6" t="n">
        <v>89</v>
      </c>
      <c r="C191" s="7" t="inlineStr">
        <is>
          <t>射击间隔 ×0.85（射速约 +17.6%）</t>
        </is>
      </c>
      <c r="D191" s="6">
        <f>1000/(Config!I5*0.85^B191*IF(B191&gt;=3,0.95,1)*IF(B191&gt;=5,0.95,1))</f>
        <v/>
      </c>
      <c r="E191" s="6" t="inlineStr">
        <is>
          <t>-</t>
        </is>
      </c>
      <c r="F191" s="6" t="inlineStr">
        <is>
          <t>-</t>
        </is>
      </c>
      <c r="G191" s="6" t="inlineStr"/>
    </row>
    <row r="192">
      <c r="A192" s="6" t="inlineStr">
        <is>
          <t>»急速射击</t>
        </is>
      </c>
      <c r="B192" s="6" t="n">
        <v>90</v>
      </c>
      <c r="C192" s="7" t="inlineStr">
        <is>
          <t>射击间隔 ×0.85（射速约 +17.6%）</t>
        </is>
      </c>
      <c r="D192" s="6">
        <f>1000/(Config!I5*0.85^B192*IF(B192&gt;=3,0.95,1)*IF(B192&gt;=5,0.95,1))</f>
        <v/>
      </c>
      <c r="E192" s="6" t="inlineStr">
        <is>
          <t>-</t>
        </is>
      </c>
      <c r="F192" s="6" t="inlineStr">
        <is>
          <t>-</t>
        </is>
      </c>
      <c r="G192" s="6" t="inlineStr"/>
    </row>
    <row r="193">
      <c r="A193" s="6" t="inlineStr">
        <is>
          <t>»急速射击</t>
        </is>
      </c>
      <c r="B193" s="6" t="n">
        <v>91</v>
      </c>
      <c r="C193" s="7" t="inlineStr">
        <is>
          <t>射击间隔 ×0.85（射速约 +17.6%）</t>
        </is>
      </c>
      <c r="D193" s="6">
        <f>1000/(Config!I5*0.85^B193*IF(B193&gt;=3,0.95,1)*IF(B193&gt;=5,0.95,1))</f>
        <v/>
      </c>
      <c r="E193" s="6" t="inlineStr">
        <is>
          <t>-</t>
        </is>
      </c>
      <c r="F193" s="6" t="inlineStr">
        <is>
          <t>-</t>
        </is>
      </c>
      <c r="G193" s="6" t="inlineStr"/>
    </row>
    <row r="194">
      <c r="A194" s="6" t="inlineStr">
        <is>
          <t>»急速射击</t>
        </is>
      </c>
      <c r="B194" s="6" t="n">
        <v>92</v>
      </c>
      <c r="C194" s="7" t="inlineStr">
        <is>
          <t>射击间隔 ×0.85（射速约 +17.6%）</t>
        </is>
      </c>
      <c r="D194" s="6">
        <f>1000/(Config!I5*0.85^B194*IF(B194&gt;=3,0.95,1)*IF(B194&gt;=5,0.95,1))</f>
        <v/>
      </c>
      <c r="E194" s="6" t="inlineStr">
        <is>
          <t>-</t>
        </is>
      </c>
      <c r="F194" s="6" t="inlineStr">
        <is>
          <t>-</t>
        </is>
      </c>
      <c r="G194" s="6" t="inlineStr"/>
    </row>
    <row r="195">
      <c r="A195" s="6" t="inlineStr">
        <is>
          <t>»急速射击</t>
        </is>
      </c>
      <c r="B195" s="6" t="n">
        <v>93</v>
      </c>
      <c r="C195" s="7" t="inlineStr">
        <is>
          <t>射击间隔 ×0.85（射速约 +17.6%）</t>
        </is>
      </c>
      <c r="D195" s="6">
        <f>1000/(Config!I5*0.85^B195*IF(B195&gt;=3,0.95,1)*IF(B195&gt;=5,0.95,1))</f>
        <v/>
      </c>
      <c r="E195" s="6" t="inlineStr">
        <is>
          <t>-</t>
        </is>
      </c>
      <c r="F195" s="6" t="inlineStr">
        <is>
          <t>-</t>
        </is>
      </c>
      <c r="G195" s="6" t="inlineStr"/>
    </row>
    <row r="196">
      <c r="A196" s="6" t="inlineStr">
        <is>
          <t>»急速射击</t>
        </is>
      </c>
      <c r="B196" s="6" t="n">
        <v>94</v>
      </c>
      <c r="C196" s="7" t="inlineStr">
        <is>
          <t>射击间隔 ×0.85（射速约 +17.6%）</t>
        </is>
      </c>
      <c r="D196" s="6">
        <f>1000/(Config!I5*0.85^B196*IF(B196&gt;=3,0.95,1)*IF(B196&gt;=5,0.95,1))</f>
        <v/>
      </c>
      <c r="E196" s="6" t="inlineStr">
        <is>
          <t>-</t>
        </is>
      </c>
      <c r="F196" s="6" t="inlineStr">
        <is>
          <t>-</t>
        </is>
      </c>
      <c r="G196" s="6" t="inlineStr"/>
    </row>
    <row r="197">
      <c r="A197" s="6" t="inlineStr">
        <is>
          <t>»急速射击</t>
        </is>
      </c>
      <c r="B197" s="6" t="n">
        <v>95</v>
      </c>
      <c r="C197" s="7" t="inlineStr">
        <is>
          <t>射击间隔 ×0.85（射速约 +17.6%）</t>
        </is>
      </c>
      <c r="D197" s="6">
        <f>1000/(Config!I5*0.85^B197*IF(B197&gt;=3,0.95,1)*IF(B197&gt;=5,0.95,1))</f>
        <v/>
      </c>
      <c r="E197" s="6" t="inlineStr">
        <is>
          <t>-</t>
        </is>
      </c>
      <c r="F197" s="6" t="inlineStr">
        <is>
          <t>-</t>
        </is>
      </c>
      <c r="G197" s="6" t="inlineStr"/>
    </row>
    <row r="198">
      <c r="A198" s="6" t="inlineStr">
        <is>
          <t>»急速射击</t>
        </is>
      </c>
      <c r="B198" s="6" t="n">
        <v>96</v>
      </c>
      <c r="C198" s="7" t="inlineStr">
        <is>
          <t>射击间隔 ×0.85（射速约 +17.6%）</t>
        </is>
      </c>
      <c r="D198" s="6">
        <f>1000/(Config!I5*0.85^B198*IF(B198&gt;=3,0.95,1)*IF(B198&gt;=5,0.95,1))</f>
        <v/>
      </c>
      <c r="E198" s="6" t="inlineStr">
        <is>
          <t>-</t>
        </is>
      </c>
      <c r="F198" s="6" t="inlineStr">
        <is>
          <t>-</t>
        </is>
      </c>
      <c r="G198" s="6" t="inlineStr"/>
    </row>
    <row r="199">
      <c r="A199" s="6" t="inlineStr">
        <is>
          <t>»急速射击</t>
        </is>
      </c>
      <c r="B199" s="6" t="n">
        <v>97</v>
      </c>
      <c r="C199" s="7" t="inlineStr">
        <is>
          <t>射击间隔 ×0.85（射速约 +17.6%）</t>
        </is>
      </c>
      <c r="D199" s="6">
        <f>1000/(Config!I5*0.85^B199*IF(B199&gt;=3,0.95,1)*IF(B199&gt;=5,0.95,1))</f>
        <v/>
      </c>
      <c r="E199" s="6" t="inlineStr">
        <is>
          <t>-</t>
        </is>
      </c>
      <c r="F199" s="6" t="inlineStr">
        <is>
          <t>-</t>
        </is>
      </c>
      <c r="G199" s="6" t="inlineStr"/>
    </row>
    <row r="200">
      <c r="A200" s="6" t="inlineStr">
        <is>
          <t>»急速射击</t>
        </is>
      </c>
      <c r="B200" s="6" t="n">
        <v>98</v>
      </c>
      <c r="C200" s="7" t="inlineStr">
        <is>
          <t>射击间隔 ×0.85（射速约 +17.6%）</t>
        </is>
      </c>
      <c r="D200" s="6">
        <f>1000/(Config!I5*0.85^B200*IF(B200&gt;=3,0.95,1)*IF(B200&gt;=5,0.95,1))</f>
        <v/>
      </c>
      <c r="E200" s="6" t="inlineStr">
        <is>
          <t>-</t>
        </is>
      </c>
      <c r="F200" s="6" t="inlineStr">
        <is>
          <t>-</t>
        </is>
      </c>
      <c r="G200" s="6" t="inlineStr"/>
    </row>
    <row r="201">
      <c r="A201" s="6" t="inlineStr">
        <is>
          <t>»急速射击</t>
        </is>
      </c>
      <c r="B201" s="6" t="n">
        <v>99</v>
      </c>
      <c r="C201" s="7" t="inlineStr">
        <is>
          <t>射击间隔 ×0.85（射速约 +17.6%）</t>
        </is>
      </c>
      <c r="D201" s="6">
        <f>1000/(Config!I5*0.85^B201*IF(B201&gt;=3,0.95,1)*IF(B201&gt;=5,0.95,1))</f>
        <v/>
      </c>
      <c r="E201" s="6" t="inlineStr">
        <is>
          <t>-</t>
        </is>
      </c>
      <c r="F201" s="6" t="inlineStr">
        <is>
          <t>-</t>
        </is>
      </c>
      <c r="G201" s="6" t="inlineStr"/>
    </row>
    <row r="202">
      <c r="A202" s="6" t="inlineStr">
        <is>
          <t>🎯多重射击</t>
        </is>
      </c>
      <c r="B202" s="6" t="n">
        <v>1</v>
      </c>
      <c r="C202" s="7" t="inlineStr">
        <is>
          <t>子弹数 +1</t>
        </is>
      </c>
      <c r="D202" s="6">
        <f>Config!I6+B202</f>
        <v/>
      </c>
      <c r="E202" s="6" t="inlineStr">
        <is>
          <t>-</t>
        </is>
      </c>
      <c r="F202" s="6" t="inlineStr">
        <is>
          <t>-</t>
        </is>
      </c>
      <c r="G202" s="6" t="inlineStr"/>
    </row>
    <row r="203">
      <c r="A203" s="6" t="inlineStr">
        <is>
          <t>🎯多重射击</t>
        </is>
      </c>
      <c r="B203" s="6" t="n">
        <v>2</v>
      </c>
      <c r="C203" s="7" t="inlineStr">
        <is>
          <t>子弹数 +1</t>
        </is>
      </c>
      <c r="D203" s="6">
        <f>Config!I6+B203</f>
        <v/>
      </c>
      <c r="E203" s="6" t="inlineStr">
        <is>
          <t>-</t>
        </is>
      </c>
      <c r="F203" s="6" t="inlineStr">
        <is>
          <t>-</t>
        </is>
      </c>
      <c r="G203" s="6" t="inlineStr"/>
    </row>
    <row r="204">
      <c r="A204" s="6" t="inlineStr">
        <is>
          <t>🎯多重射击</t>
        </is>
      </c>
      <c r="B204" s="6" t="n">
        <v>3</v>
      </c>
      <c r="C204" s="7" t="inlineStr">
        <is>
          <t>子弹数 +1</t>
        </is>
      </c>
      <c r="D204" s="6">
        <f>Config!I6+B204</f>
        <v/>
      </c>
      <c r="E204" s="6" t="inlineStr">
        <is>
          <t>-</t>
        </is>
      </c>
      <c r="F204" s="6" t="inlineStr">
        <is>
          <t>-</t>
        </is>
      </c>
      <c r="G204" s="6" t="inlineStr"/>
    </row>
    <row r="205">
      <c r="A205" s="6" t="inlineStr">
        <is>
          <t>🎯多重射击</t>
        </is>
      </c>
      <c r="B205" s="6" t="n">
        <v>4</v>
      </c>
      <c r="C205" s="7" t="inlineStr">
        <is>
          <t>子弹数 +1</t>
        </is>
      </c>
      <c r="D205" s="6">
        <f>Config!I6+B205</f>
        <v/>
      </c>
      <c r="E205" s="6" t="inlineStr">
        <is>
          <t>-</t>
        </is>
      </c>
      <c r="F205" s="6" t="inlineStr">
        <is>
          <t>-</t>
        </is>
      </c>
      <c r="G205" s="6" t="inlineStr"/>
    </row>
    <row r="206">
      <c r="A206" s="8" t="inlineStr">
        <is>
          <t>🎯多重射击</t>
        </is>
      </c>
      <c r="B206" s="8" t="n">
        <v>5</v>
      </c>
      <c r="C206" s="9" t="inlineStr">
        <is>
          <t>命中后分裂迸射小弹</t>
        </is>
      </c>
      <c r="D206" s="8">
        <f>Config!I6+B206</f>
        <v/>
      </c>
      <c r="E206" s="8" t="inlineStr">
        <is>
          <t>-</t>
        </is>
      </c>
      <c r="F206" s="8" t="inlineStr">
        <is>
          <t>-</t>
        </is>
      </c>
      <c r="G206" s="8" t="inlineStr">
        <is>
          <t>★Lv5质变</t>
        </is>
      </c>
    </row>
    <row r="207">
      <c r="A207" s="6" t="inlineStr">
        <is>
          <t>🎯多重射击</t>
        </is>
      </c>
      <c r="B207" s="6" t="n">
        <v>6</v>
      </c>
      <c r="C207" s="7" t="inlineStr">
        <is>
          <t>子弹数 +1</t>
        </is>
      </c>
      <c r="D207" s="6">
        <f>Config!I6+B207</f>
        <v/>
      </c>
      <c r="E207" s="6" t="inlineStr">
        <is>
          <t>-</t>
        </is>
      </c>
      <c r="F207" s="6" t="inlineStr">
        <is>
          <t>-</t>
        </is>
      </c>
      <c r="G207" s="6" t="inlineStr"/>
    </row>
    <row r="208">
      <c r="A208" s="6" t="inlineStr">
        <is>
          <t>🎯多重射击</t>
        </is>
      </c>
      <c r="B208" s="6" t="n">
        <v>7</v>
      </c>
      <c r="C208" s="7" t="inlineStr">
        <is>
          <t>子弹数 +1</t>
        </is>
      </c>
      <c r="D208" s="6">
        <f>Config!I6+B208</f>
        <v/>
      </c>
      <c r="E208" s="6" t="inlineStr">
        <is>
          <t>-</t>
        </is>
      </c>
      <c r="F208" s="6" t="inlineStr">
        <is>
          <t>-</t>
        </is>
      </c>
      <c r="G208" s="6" t="inlineStr"/>
    </row>
    <row r="209">
      <c r="A209" s="6" t="inlineStr">
        <is>
          <t>🎯多重射击</t>
        </is>
      </c>
      <c r="B209" s="6" t="n">
        <v>8</v>
      </c>
      <c r="C209" s="7" t="inlineStr">
        <is>
          <t>子弹数 +1</t>
        </is>
      </c>
      <c r="D209" s="6">
        <f>Config!I6+B209</f>
        <v/>
      </c>
      <c r="E209" s="6" t="inlineStr">
        <is>
          <t>-</t>
        </is>
      </c>
      <c r="F209" s="6" t="inlineStr">
        <is>
          <t>-</t>
        </is>
      </c>
      <c r="G209" s="6" t="inlineStr"/>
    </row>
    <row r="210">
      <c r="A210" s="6" t="inlineStr">
        <is>
          <t>🎯多重射击</t>
        </is>
      </c>
      <c r="B210" s="6" t="n">
        <v>9</v>
      </c>
      <c r="C210" s="7" t="inlineStr">
        <is>
          <t>子弹数 +1</t>
        </is>
      </c>
      <c r="D210" s="6">
        <f>Config!I6+B210</f>
        <v/>
      </c>
      <c r="E210" s="6" t="inlineStr">
        <is>
          <t>-</t>
        </is>
      </c>
      <c r="F210" s="6" t="inlineStr">
        <is>
          <t>-</t>
        </is>
      </c>
      <c r="G210" s="6" t="inlineStr"/>
    </row>
    <row r="211">
      <c r="A211" s="6" t="inlineStr">
        <is>
          <t>🎯多重射击</t>
        </is>
      </c>
      <c r="B211" s="6" t="n">
        <v>10</v>
      </c>
      <c r="C211" s="7" t="inlineStr">
        <is>
          <t>子弹数 +1</t>
        </is>
      </c>
      <c r="D211" s="6">
        <f>Config!I6+B211</f>
        <v/>
      </c>
      <c r="E211" s="6" t="inlineStr">
        <is>
          <t>-</t>
        </is>
      </c>
      <c r="F211" s="6" t="inlineStr">
        <is>
          <t>-</t>
        </is>
      </c>
      <c r="G211" s="6" t="inlineStr"/>
    </row>
    <row r="212">
      <c r="A212" s="6" t="inlineStr">
        <is>
          <t>🎯多重射击</t>
        </is>
      </c>
      <c r="B212" s="6" t="n">
        <v>11</v>
      </c>
      <c r="C212" s="7" t="inlineStr">
        <is>
          <t>子弹数 +1</t>
        </is>
      </c>
      <c r="D212" s="6">
        <f>Config!I6+B212</f>
        <v/>
      </c>
      <c r="E212" s="6" t="inlineStr">
        <is>
          <t>-</t>
        </is>
      </c>
      <c r="F212" s="6" t="inlineStr">
        <is>
          <t>-</t>
        </is>
      </c>
      <c r="G212" s="6" t="inlineStr"/>
    </row>
    <row r="213">
      <c r="A213" s="6" t="inlineStr">
        <is>
          <t>🎯多重射击</t>
        </is>
      </c>
      <c r="B213" s="6" t="n">
        <v>12</v>
      </c>
      <c r="C213" s="7" t="inlineStr">
        <is>
          <t>子弹数 +1</t>
        </is>
      </c>
      <c r="D213" s="6">
        <f>Config!I6+B213</f>
        <v/>
      </c>
      <c r="E213" s="6" t="inlineStr">
        <is>
          <t>-</t>
        </is>
      </c>
      <c r="F213" s="6" t="inlineStr">
        <is>
          <t>-</t>
        </is>
      </c>
      <c r="G213" s="6" t="inlineStr"/>
    </row>
    <row r="214">
      <c r="A214" s="6" t="inlineStr">
        <is>
          <t>🎯多重射击</t>
        </is>
      </c>
      <c r="B214" s="6" t="n">
        <v>13</v>
      </c>
      <c r="C214" s="7" t="inlineStr">
        <is>
          <t>子弹数 +1</t>
        </is>
      </c>
      <c r="D214" s="6">
        <f>Config!I6+B214</f>
        <v/>
      </c>
      <c r="E214" s="6" t="inlineStr">
        <is>
          <t>-</t>
        </is>
      </c>
      <c r="F214" s="6" t="inlineStr">
        <is>
          <t>-</t>
        </is>
      </c>
      <c r="G214" s="6" t="inlineStr"/>
    </row>
    <row r="215">
      <c r="A215" s="6" t="inlineStr">
        <is>
          <t>🎯多重射击</t>
        </is>
      </c>
      <c r="B215" s="6" t="n">
        <v>14</v>
      </c>
      <c r="C215" s="7" t="inlineStr">
        <is>
          <t>子弹数 +1</t>
        </is>
      </c>
      <c r="D215" s="6">
        <f>Config!I6+B215</f>
        <v/>
      </c>
      <c r="E215" s="6" t="inlineStr">
        <is>
          <t>-</t>
        </is>
      </c>
      <c r="F215" s="6" t="inlineStr">
        <is>
          <t>-</t>
        </is>
      </c>
      <c r="G215" s="6" t="inlineStr"/>
    </row>
    <row r="216">
      <c r="A216" s="6" t="inlineStr">
        <is>
          <t>🎯多重射击</t>
        </is>
      </c>
      <c r="B216" s="6" t="n">
        <v>15</v>
      </c>
      <c r="C216" s="7" t="inlineStr">
        <is>
          <t>子弹数 +1</t>
        </is>
      </c>
      <c r="D216" s="6">
        <f>Config!I6+B216</f>
        <v/>
      </c>
      <c r="E216" s="6" t="inlineStr">
        <is>
          <t>-</t>
        </is>
      </c>
      <c r="F216" s="6" t="inlineStr">
        <is>
          <t>-</t>
        </is>
      </c>
      <c r="G216" s="6" t="inlineStr"/>
    </row>
    <row r="217">
      <c r="A217" s="6" t="inlineStr">
        <is>
          <t>🎯多重射击</t>
        </is>
      </c>
      <c r="B217" s="6" t="n">
        <v>16</v>
      </c>
      <c r="C217" s="7" t="inlineStr">
        <is>
          <t>子弹数 +1</t>
        </is>
      </c>
      <c r="D217" s="6">
        <f>Config!I6+B217</f>
        <v/>
      </c>
      <c r="E217" s="6" t="inlineStr">
        <is>
          <t>-</t>
        </is>
      </c>
      <c r="F217" s="6" t="inlineStr">
        <is>
          <t>-</t>
        </is>
      </c>
      <c r="G217" s="6" t="inlineStr"/>
    </row>
    <row r="218">
      <c r="A218" s="6" t="inlineStr">
        <is>
          <t>🎯多重射击</t>
        </is>
      </c>
      <c r="B218" s="6" t="n">
        <v>17</v>
      </c>
      <c r="C218" s="7" t="inlineStr">
        <is>
          <t>子弹数 +1</t>
        </is>
      </c>
      <c r="D218" s="6">
        <f>Config!I6+B218</f>
        <v/>
      </c>
      <c r="E218" s="6" t="inlineStr">
        <is>
          <t>-</t>
        </is>
      </c>
      <c r="F218" s="6" t="inlineStr">
        <is>
          <t>-</t>
        </is>
      </c>
      <c r="G218" s="6" t="inlineStr"/>
    </row>
    <row r="219">
      <c r="A219" s="6" t="inlineStr">
        <is>
          <t>🎯多重射击</t>
        </is>
      </c>
      <c r="B219" s="6" t="n">
        <v>18</v>
      </c>
      <c r="C219" s="7" t="inlineStr">
        <is>
          <t>子弹数 +1</t>
        </is>
      </c>
      <c r="D219" s="6">
        <f>Config!I6+B219</f>
        <v/>
      </c>
      <c r="E219" s="6" t="inlineStr">
        <is>
          <t>-</t>
        </is>
      </c>
      <c r="F219" s="6" t="inlineStr">
        <is>
          <t>-</t>
        </is>
      </c>
      <c r="G219" s="6" t="inlineStr"/>
    </row>
    <row r="220">
      <c r="A220" s="6" t="inlineStr">
        <is>
          <t>🎯多重射击</t>
        </is>
      </c>
      <c r="B220" s="6" t="n">
        <v>19</v>
      </c>
      <c r="C220" s="7" t="inlineStr">
        <is>
          <t>子弹数 +1</t>
        </is>
      </c>
      <c r="D220" s="6">
        <f>Config!I6+B220</f>
        <v/>
      </c>
      <c r="E220" s="6" t="inlineStr">
        <is>
          <t>-</t>
        </is>
      </c>
      <c r="F220" s="6" t="inlineStr">
        <is>
          <t>-</t>
        </is>
      </c>
      <c r="G220" s="6" t="inlineStr"/>
    </row>
    <row r="221">
      <c r="A221" s="6" t="inlineStr">
        <is>
          <t>🎯多重射击</t>
        </is>
      </c>
      <c r="B221" s="6" t="n">
        <v>20</v>
      </c>
      <c r="C221" s="7" t="inlineStr">
        <is>
          <t>子弹数 +1</t>
        </is>
      </c>
      <c r="D221" s="6">
        <f>Config!I6+B221</f>
        <v/>
      </c>
      <c r="E221" s="6" t="inlineStr">
        <is>
          <t>-</t>
        </is>
      </c>
      <c r="F221" s="6" t="inlineStr">
        <is>
          <t>-</t>
        </is>
      </c>
      <c r="G221" s="6" t="inlineStr"/>
    </row>
    <row r="222">
      <c r="A222" s="6" t="inlineStr">
        <is>
          <t>💨高速子弹</t>
        </is>
      </c>
      <c r="B222" s="6" t="n">
        <v>1</v>
      </c>
      <c r="C222" s="7" t="inlineStr">
        <is>
          <t>弹速 ×1.2（+20%）</t>
        </is>
      </c>
      <c r="D222" s="6">
        <f>Config!I7*1.2^B222*IF(B222&gt;=3,1.1,1)</f>
        <v/>
      </c>
      <c r="E222" s="6" t="inlineStr">
        <is>
          <t>-</t>
        </is>
      </c>
      <c r="F222" s="6" t="inlineStr">
        <is>
          <t>-</t>
        </is>
      </c>
      <c r="G222" s="6" t="inlineStr"/>
    </row>
    <row r="223">
      <c r="A223" s="6" t="inlineStr">
        <is>
          <t>💨高速子弹</t>
        </is>
      </c>
      <c r="B223" s="6" t="n">
        <v>2</v>
      </c>
      <c r="C223" s="7" t="inlineStr">
        <is>
          <t>弹速 ×1.2（+20%）</t>
        </is>
      </c>
      <c r="D223" s="6">
        <f>Config!I7*1.2^B223*IF(B223&gt;=3,1.1,1)</f>
        <v/>
      </c>
      <c r="E223" s="6" t="inlineStr">
        <is>
          <t>-</t>
        </is>
      </c>
      <c r="F223" s="6" t="inlineStr">
        <is>
          <t>-</t>
        </is>
      </c>
      <c r="G223" s="6" t="inlineStr"/>
    </row>
    <row r="224">
      <c r="A224" s="8" t="inlineStr">
        <is>
          <t>💨高速子弹</t>
        </is>
      </c>
      <c r="B224" s="8" t="n">
        <v>3</v>
      </c>
      <c r="C224" s="9" t="inlineStr">
        <is>
          <t>弹速再 ×1.1</t>
        </is>
      </c>
      <c r="D224" s="8">
        <f>Config!I7*1.2^B224*IF(B224&gt;=3,1.1,1)</f>
        <v/>
      </c>
      <c r="E224" s="8" t="inlineStr">
        <is>
          <t>-</t>
        </is>
      </c>
      <c r="F224" s="8" t="inlineStr">
        <is>
          <t>-</t>
        </is>
      </c>
      <c r="G224" s="8" t="inlineStr">
        <is>
          <t>★Lv3质变</t>
        </is>
      </c>
    </row>
    <row r="225">
      <c r="A225" s="6" t="inlineStr">
        <is>
          <t>💨高速子弹</t>
        </is>
      </c>
      <c r="B225" s="6" t="n">
        <v>4</v>
      </c>
      <c r="C225" s="7" t="inlineStr">
        <is>
          <t>弹速 ×1.2（+20%）</t>
        </is>
      </c>
      <c r="D225" s="6">
        <f>Config!I7*1.2^B225*IF(B225&gt;=3,1.1,1)</f>
        <v/>
      </c>
      <c r="E225" s="6" t="inlineStr">
        <is>
          <t>-</t>
        </is>
      </c>
      <c r="F225" s="6" t="inlineStr">
        <is>
          <t>-</t>
        </is>
      </c>
      <c r="G225" s="6" t="inlineStr"/>
    </row>
    <row r="226">
      <c r="A226" s="8" t="inlineStr">
        <is>
          <t>💨高速子弹</t>
        </is>
      </c>
      <c r="B226" s="8" t="n">
        <v>5</v>
      </c>
      <c r="C226" s="9" t="inlineStr">
        <is>
          <t>穿透 +1</t>
        </is>
      </c>
      <c r="D226" s="8">
        <f>Config!I7*1.2^B226*IF(B226&gt;=3,1.1,1)</f>
        <v/>
      </c>
      <c r="E226" s="8" t="inlineStr">
        <is>
          <t>-</t>
        </is>
      </c>
      <c r="F226" s="8" t="inlineStr">
        <is>
          <t>-</t>
        </is>
      </c>
      <c r="G226" s="8" t="inlineStr">
        <is>
          <t>★Lv5质变</t>
        </is>
      </c>
    </row>
    <row r="227">
      <c r="A227" s="6" t="inlineStr">
        <is>
          <t>💨高速子弹</t>
        </is>
      </c>
      <c r="B227" s="6" t="n">
        <v>6</v>
      </c>
      <c r="C227" s="7" t="inlineStr">
        <is>
          <t>弹速 ×1.2（+20%）</t>
        </is>
      </c>
      <c r="D227" s="6">
        <f>Config!I7*1.2^B227*IF(B227&gt;=3,1.1,1)</f>
        <v/>
      </c>
      <c r="E227" s="6" t="inlineStr">
        <is>
          <t>-</t>
        </is>
      </c>
      <c r="F227" s="6" t="inlineStr">
        <is>
          <t>-</t>
        </is>
      </c>
      <c r="G227" s="6" t="inlineStr"/>
    </row>
    <row r="228">
      <c r="A228" s="6" t="inlineStr">
        <is>
          <t>💨高速子弹</t>
        </is>
      </c>
      <c r="B228" s="6" t="n">
        <v>7</v>
      </c>
      <c r="C228" s="7" t="inlineStr">
        <is>
          <t>弹速 ×1.2（+20%）</t>
        </is>
      </c>
      <c r="D228" s="6">
        <f>Config!I7*1.2^B228*IF(B228&gt;=3,1.1,1)</f>
        <v/>
      </c>
      <c r="E228" s="6" t="inlineStr">
        <is>
          <t>-</t>
        </is>
      </c>
      <c r="F228" s="6" t="inlineStr">
        <is>
          <t>-</t>
        </is>
      </c>
      <c r="G228" s="6" t="inlineStr"/>
    </row>
    <row r="229">
      <c r="A229" s="6" t="inlineStr">
        <is>
          <t>💨高速子弹</t>
        </is>
      </c>
      <c r="B229" s="6" t="n">
        <v>8</v>
      </c>
      <c r="C229" s="7" t="inlineStr">
        <is>
          <t>弹速 ×1.2（+20%）</t>
        </is>
      </c>
      <c r="D229" s="6">
        <f>Config!I7*1.2^B229*IF(B229&gt;=3,1.1,1)</f>
        <v/>
      </c>
      <c r="E229" s="6" t="inlineStr">
        <is>
          <t>-</t>
        </is>
      </c>
      <c r="F229" s="6" t="inlineStr">
        <is>
          <t>-</t>
        </is>
      </c>
      <c r="G229" s="6" t="inlineStr"/>
    </row>
    <row r="230">
      <c r="A230" s="6" t="inlineStr">
        <is>
          <t>💨高速子弹</t>
        </is>
      </c>
      <c r="B230" s="6" t="n">
        <v>9</v>
      </c>
      <c r="C230" s="7" t="inlineStr">
        <is>
          <t>弹速 ×1.2（+20%）</t>
        </is>
      </c>
      <c r="D230" s="6">
        <f>Config!I7*1.2^B230*IF(B230&gt;=3,1.1,1)</f>
        <v/>
      </c>
      <c r="E230" s="6" t="inlineStr">
        <is>
          <t>-</t>
        </is>
      </c>
      <c r="F230" s="6" t="inlineStr">
        <is>
          <t>-</t>
        </is>
      </c>
      <c r="G230" s="6" t="inlineStr"/>
    </row>
    <row r="231">
      <c r="A231" s="6" t="inlineStr">
        <is>
          <t>💨高速子弹</t>
        </is>
      </c>
      <c r="B231" s="6" t="n">
        <v>10</v>
      </c>
      <c r="C231" s="7" t="inlineStr">
        <is>
          <t>弹速 ×1.2（+20%）</t>
        </is>
      </c>
      <c r="D231" s="6">
        <f>Config!I7*1.2^B231*IF(B231&gt;=3,1.1,1)</f>
        <v/>
      </c>
      <c r="E231" s="6" t="inlineStr">
        <is>
          <t>-</t>
        </is>
      </c>
      <c r="F231" s="6" t="inlineStr">
        <is>
          <t>-</t>
        </is>
      </c>
      <c r="G231" s="6" t="inlineStr"/>
    </row>
    <row r="232">
      <c r="A232" s="6" t="inlineStr">
        <is>
          <t>💨高速子弹</t>
        </is>
      </c>
      <c r="B232" s="6" t="n">
        <v>11</v>
      </c>
      <c r="C232" s="7" t="inlineStr">
        <is>
          <t>弹速 ×1.2（+20%）</t>
        </is>
      </c>
      <c r="D232" s="6">
        <f>Config!I7*1.2^B232*IF(B232&gt;=3,1.1,1)</f>
        <v/>
      </c>
      <c r="E232" s="6" t="inlineStr">
        <is>
          <t>-</t>
        </is>
      </c>
      <c r="F232" s="6" t="inlineStr">
        <is>
          <t>-</t>
        </is>
      </c>
      <c r="G232" s="6" t="inlineStr"/>
    </row>
    <row r="233">
      <c r="A233" s="6" t="inlineStr">
        <is>
          <t>💨高速子弹</t>
        </is>
      </c>
      <c r="B233" s="6" t="n">
        <v>12</v>
      </c>
      <c r="C233" s="7" t="inlineStr">
        <is>
          <t>弹速 ×1.2（+20%）</t>
        </is>
      </c>
      <c r="D233" s="6">
        <f>Config!I7*1.2^B233*IF(B233&gt;=3,1.1,1)</f>
        <v/>
      </c>
      <c r="E233" s="6" t="inlineStr">
        <is>
          <t>-</t>
        </is>
      </c>
      <c r="F233" s="6" t="inlineStr">
        <is>
          <t>-</t>
        </is>
      </c>
      <c r="G233" s="6" t="inlineStr"/>
    </row>
    <row r="234">
      <c r="A234" s="6" t="inlineStr">
        <is>
          <t>💨高速子弹</t>
        </is>
      </c>
      <c r="B234" s="6" t="n">
        <v>13</v>
      </c>
      <c r="C234" s="7" t="inlineStr">
        <is>
          <t>弹速 ×1.2（+20%）</t>
        </is>
      </c>
      <c r="D234" s="6">
        <f>Config!I7*1.2^B234*IF(B234&gt;=3,1.1,1)</f>
        <v/>
      </c>
      <c r="E234" s="6" t="inlineStr">
        <is>
          <t>-</t>
        </is>
      </c>
      <c r="F234" s="6" t="inlineStr">
        <is>
          <t>-</t>
        </is>
      </c>
      <c r="G234" s="6" t="inlineStr"/>
    </row>
    <row r="235">
      <c r="A235" s="6" t="inlineStr">
        <is>
          <t>💨高速子弹</t>
        </is>
      </c>
      <c r="B235" s="6" t="n">
        <v>14</v>
      </c>
      <c r="C235" s="7" t="inlineStr">
        <is>
          <t>弹速 ×1.2（+20%）</t>
        </is>
      </c>
      <c r="D235" s="6">
        <f>Config!I7*1.2^B235*IF(B235&gt;=3,1.1,1)</f>
        <v/>
      </c>
      <c r="E235" s="6" t="inlineStr">
        <is>
          <t>-</t>
        </is>
      </c>
      <c r="F235" s="6" t="inlineStr">
        <is>
          <t>-</t>
        </is>
      </c>
      <c r="G235" s="6" t="inlineStr"/>
    </row>
    <row r="236">
      <c r="A236" s="6" t="inlineStr">
        <is>
          <t>💨高速子弹</t>
        </is>
      </c>
      <c r="B236" s="6" t="n">
        <v>15</v>
      </c>
      <c r="C236" s="7" t="inlineStr">
        <is>
          <t>弹速 ×1.2（+20%）</t>
        </is>
      </c>
      <c r="D236" s="6">
        <f>Config!I7*1.2^B236*IF(B236&gt;=3,1.1,1)</f>
        <v/>
      </c>
      <c r="E236" s="6" t="inlineStr">
        <is>
          <t>-</t>
        </is>
      </c>
      <c r="F236" s="6" t="inlineStr">
        <is>
          <t>-</t>
        </is>
      </c>
      <c r="G236" s="6" t="inlineStr"/>
    </row>
    <row r="237">
      <c r="A237" s="6" t="inlineStr">
        <is>
          <t>💨高速子弹</t>
        </is>
      </c>
      <c r="B237" s="6" t="n">
        <v>16</v>
      </c>
      <c r="C237" s="7" t="inlineStr">
        <is>
          <t>弹速 ×1.2（+20%）</t>
        </is>
      </c>
      <c r="D237" s="6">
        <f>Config!I7*1.2^B237*IF(B237&gt;=3,1.1,1)</f>
        <v/>
      </c>
      <c r="E237" s="6" t="inlineStr">
        <is>
          <t>-</t>
        </is>
      </c>
      <c r="F237" s="6" t="inlineStr">
        <is>
          <t>-</t>
        </is>
      </c>
      <c r="G237" s="6" t="inlineStr"/>
    </row>
    <row r="238">
      <c r="A238" s="6" t="inlineStr">
        <is>
          <t>💨高速子弹</t>
        </is>
      </c>
      <c r="B238" s="6" t="n">
        <v>17</v>
      </c>
      <c r="C238" s="7" t="inlineStr">
        <is>
          <t>弹速 ×1.2（+20%）</t>
        </is>
      </c>
      <c r="D238" s="6">
        <f>Config!I7*1.2^B238*IF(B238&gt;=3,1.1,1)</f>
        <v/>
      </c>
      <c r="E238" s="6" t="inlineStr">
        <is>
          <t>-</t>
        </is>
      </c>
      <c r="F238" s="6" t="inlineStr">
        <is>
          <t>-</t>
        </is>
      </c>
      <c r="G238" s="6" t="inlineStr"/>
    </row>
    <row r="239">
      <c r="A239" s="6" t="inlineStr">
        <is>
          <t>💨高速子弹</t>
        </is>
      </c>
      <c r="B239" s="6" t="n">
        <v>18</v>
      </c>
      <c r="C239" s="7" t="inlineStr">
        <is>
          <t>弹速 ×1.2（+20%）</t>
        </is>
      </c>
      <c r="D239" s="6">
        <f>Config!I7*1.2^B239*IF(B239&gt;=3,1.1,1)</f>
        <v/>
      </c>
      <c r="E239" s="6" t="inlineStr">
        <is>
          <t>-</t>
        </is>
      </c>
      <c r="F239" s="6" t="inlineStr">
        <is>
          <t>-</t>
        </is>
      </c>
      <c r="G239" s="6" t="inlineStr"/>
    </row>
    <row r="240">
      <c r="A240" s="6" t="inlineStr">
        <is>
          <t>💨高速子弹</t>
        </is>
      </c>
      <c r="B240" s="6" t="n">
        <v>19</v>
      </c>
      <c r="C240" s="7" t="inlineStr">
        <is>
          <t>弹速 ×1.2（+20%）</t>
        </is>
      </c>
      <c r="D240" s="6">
        <f>Config!I7*1.2^B240*IF(B240&gt;=3,1.1,1)</f>
        <v/>
      </c>
      <c r="E240" s="6" t="inlineStr">
        <is>
          <t>-</t>
        </is>
      </c>
      <c r="F240" s="6" t="inlineStr">
        <is>
          <t>-</t>
        </is>
      </c>
      <c r="G240" s="6" t="inlineStr"/>
    </row>
    <row r="241">
      <c r="A241" s="6" t="inlineStr">
        <is>
          <t>💨高速子弹</t>
        </is>
      </c>
      <c r="B241" s="6" t="n">
        <v>20</v>
      </c>
      <c r="C241" s="7" t="inlineStr">
        <is>
          <t>弹速 ×1.2（+20%）</t>
        </is>
      </c>
      <c r="D241" s="6">
        <f>Config!I7*1.2^B241*IF(B241&gt;=3,1.1,1)</f>
        <v/>
      </c>
      <c r="E241" s="6" t="inlineStr">
        <is>
          <t>-</t>
        </is>
      </c>
      <c r="F241" s="6" t="inlineStr">
        <is>
          <t>-</t>
        </is>
      </c>
      <c r="G241" s="6" t="inlineStr"/>
    </row>
    <row r="242">
      <c r="A242" s="6" t="inlineStr">
        <is>
          <t>💨高速子弹</t>
        </is>
      </c>
      <c r="B242" s="6" t="n">
        <v>21</v>
      </c>
      <c r="C242" s="7" t="inlineStr">
        <is>
          <t>弹速 ×1.2（+20%）</t>
        </is>
      </c>
      <c r="D242" s="6">
        <f>Config!I7*1.2^B242*IF(B242&gt;=3,1.1,1)</f>
        <v/>
      </c>
      <c r="E242" s="6" t="inlineStr">
        <is>
          <t>-</t>
        </is>
      </c>
      <c r="F242" s="6" t="inlineStr">
        <is>
          <t>-</t>
        </is>
      </c>
      <c r="G242" s="6" t="inlineStr"/>
    </row>
    <row r="243">
      <c r="A243" s="6" t="inlineStr">
        <is>
          <t>💨高速子弹</t>
        </is>
      </c>
      <c r="B243" s="6" t="n">
        <v>22</v>
      </c>
      <c r="C243" s="7" t="inlineStr">
        <is>
          <t>弹速 ×1.2（+20%）</t>
        </is>
      </c>
      <c r="D243" s="6">
        <f>Config!I7*1.2^B243*IF(B243&gt;=3,1.1,1)</f>
        <v/>
      </c>
      <c r="E243" s="6" t="inlineStr">
        <is>
          <t>-</t>
        </is>
      </c>
      <c r="F243" s="6" t="inlineStr">
        <is>
          <t>-</t>
        </is>
      </c>
      <c r="G243" s="6" t="inlineStr"/>
    </row>
    <row r="244">
      <c r="A244" s="6" t="inlineStr">
        <is>
          <t>💨高速子弹</t>
        </is>
      </c>
      <c r="B244" s="6" t="n">
        <v>23</v>
      </c>
      <c r="C244" s="7" t="inlineStr">
        <is>
          <t>弹速 ×1.2（+20%）</t>
        </is>
      </c>
      <c r="D244" s="6">
        <f>Config!I7*1.2^B244*IF(B244&gt;=3,1.1,1)</f>
        <v/>
      </c>
      <c r="E244" s="6" t="inlineStr">
        <is>
          <t>-</t>
        </is>
      </c>
      <c r="F244" s="6" t="inlineStr">
        <is>
          <t>-</t>
        </is>
      </c>
      <c r="G244" s="6" t="inlineStr"/>
    </row>
    <row r="245">
      <c r="A245" s="6" t="inlineStr">
        <is>
          <t>💨高速子弹</t>
        </is>
      </c>
      <c r="B245" s="6" t="n">
        <v>24</v>
      </c>
      <c r="C245" s="7" t="inlineStr">
        <is>
          <t>弹速 ×1.2（+20%）</t>
        </is>
      </c>
      <c r="D245" s="6">
        <f>Config!I7*1.2^B245*IF(B245&gt;=3,1.1,1)</f>
        <v/>
      </c>
      <c r="E245" s="6" t="inlineStr">
        <is>
          <t>-</t>
        </is>
      </c>
      <c r="F245" s="6" t="inlineStr">
        <is>
          <t>-</t>
        </is>
      </c>
      <c r="G245" s="6" t="inlineStr"/>
    </row>
    <row r="246">
      <c r="A246" s="6" t="inlineStr">
        <is>
          <t>💨高速子弹</t>
        </is>
      </c>
      <c r="B246" s="6" t="n">
        <v>25</v>
      </c>
      <c r="C246" s="7" t="inlineStr">
        <is>
          <t>弹速 ×1.2（+20%）</t>
        </is>
      </c>
      <c r="D246" s="6">
        <f>Config!I7*1.2^B246*IF(B246&gt;=3,1.1,1)</f>
        <v/>
      </c>
      <c r="E246" s="6" t="inlineStr">
        <is>
          <t>-</t>
        </is>
      </c>
      <c r="F246" s="6" t="inlineStr">
        <is>
          <t>-</t>
        </is>
      </c>
      <c r="G246" s="6" t="inlineStr"/>
    </row>
    <row r="247">
      <c r="A247" s="6" t="inlineStr">
        <is>
          <t>💨高速子弹</t>
        </is>
      </c>
      <c r="B247" s="6" t="n">
        <v>26</v>
      </c>
      <c r="C247" s="7" t="inlineStr">
        <is>
          <t>弹速 ×1.2（+20%）</t>
        </is>
      </c>
      <c r="D247" s="6">
        <f>Config!I7*1.2^B247*IF(B247&gt;=3,1.1,1)</f>
        <v/>
      </c>
      <c r="E247" s="6" t="inlineStr">
        <is>
          <t>-</t>
        </is>
      </c>
      <c r="F247" s="6" t="inlineStr">
        <is>
          <t>-</t>
        </is>
      </c>
      <c r="G247" s="6" t="inlineStr"/>
    </row>
    <row r="248">
      <c r="A248" s="6" t="inlineStr">
        <is>
          <t>💨高速子弹</t>
        </is>
      </c>
      <c r="B248" s="6" t="n">
        <v>27</v>
      </c>
      <c r="C248" s="7" t="inlineStr">
        <is>
          <t>弹速 ×1.2（+20%）</t>
        </is>
      </c>
      <c r="D248" s="6">
        <f>Config!I7*1.2^B248*IF(B248&gt;=3,1.1,1)</f>
        <v/>
      </c>
      <c r="E248" s="6" t="inlineStr">
        <is>
          <t>-</t>
        </is>
      </c>
      <c r="F248" s="6" t="inlineStr">
        <is>
          <t>-</t>
        </is>
      </c>
      <c r="G248" s="6" t="inlineStr"/>
    </row>
    <row r="249">
      <c r="A249" s="6" t="inlineStr">
        <is>
          <t>💨高速子弹</t>
        </is>
      </c>
      <c r="B249" s="6" t="n">
        <v>28</v>
      </c>
      <c r="C249" s="7" t="inlineStr">
        <is>
          <t>弹速 ×1.2（+20%）</t>
        </is>
      </c>
      <c r="D249" s="6">
        <f>Config!I7*1.2^B249*IF(B249&gt;=3,1.1,1)</f>
        <v/>
      </c>
      <c r="E249" s="6" t="inlineStr">
        <is>
          <t>-</t>
        </is>
      </c>
      <c r="F249" s="6" t="inlineStr">
        <is>
          <t>-</t>
        </is>
      </c>
      <c r="G249" s="6" t="inlineStr"/>
    </row>
    <row r="250">
      <c r="A250" s="6" t="inlineStr">
        <is>
          <t>💨高速子弹</t>
        </is>
      </c>
      <c r="B250" s="6" t="n">
        <v>29</v>
      </c>
      <c r="C250" s="7" t="inlineStr">
        <is>
          <t>弹速 ×1.2（+20%）</t>
        </is>
      </c>
      <c r="D250" s="6">
        <f>Config!I7*1.2^B250*IF(B250&gt;=3,1.1,1)</f>
        <v/>
      </c>
      <c r="E250" s="6" t="inlineStr">
        <is>
          <t>-</t>
        </is>
      </c>
      <c r="F250" s="6" t="inlineStr">
        <is>
          <t>-</t>
        </is>
      </c>
      <c r="G250" s="6" t="inlineStr"/>
    </row>
    <row r="251">
      <c r="A251" s="6" t="inlineStr">
        <is>
          <t>💨高速子弹</t>
        </is>
      </c>
      <c r="B251" s="6" t="n">
        <v>30</v>
      </c>
      <c r="C251" s="7" t="inlineStr">
        <is>
          <t>弹速 ×1.2（+20%）</t>
        </is>
      </c>
      <c r="D251" s="6">
        <f>Config!I7*1.2^B251*IF(B251&gt;=3,1.1,1)</f>
        <v/>
      </c>
      <c r="E251" s="6" t="inlineStr">
        <is>
          <t>-</t>
        </is>
      </c>
      <c r="F251" s="6" t="inlineStr">
        <is>
          <t>-</t>
        </is>
      </c>
      <c r="G251" s="6" t="inlineStr"/>
    </row>
    <row r="252">
      <c r="A252" s="6" t="inlineStr">
        <is>
          <t>💨高速子弹</t>
        </is>
      </c>
      <c r="B252" s="6" t="n">
        <v>31</v>
      </c>
      <c r="C252" s="7" t="inlineStr">
        <is>
          <t>弹速 ×1.2（+20%）</t>
        </is>
      </c>
      <c r="D252" s="6">
        <f>Config!I7*1.2^B252*IF(B252&gt;=3,1.1,1)</f>
        <v/>
      </c>
      <c r="E252" s="6" t="inlineStr">
        <is>
          <t>-</t>
        </is>
      </c>
      <c r="F252" s="6" t="inlineStr">
        <is>
          <t>-</t>
        </is>
      </c>
      <c r="G252" s="6" t="inlineStr"/>
    </row>
    <row r="253">
      <c r="A253" s="6" t="inlineStr">
        <is>
          <t>💨高速子弹</t>
        </is>
      </c>
      <c r="B253" s="6" t="n">
        <v>32</v>
      </c>
      <c r="C253" s="7" t="inlineStr">
        <is>
          <t>弹速 ×1.2（+20%）</t>
        </is>
      </c>
      <c r="D253" s="6">
        <f>Config!I7*1.2^B253*IF(B253&gt;=3,1.1,1)</f>
        <v/>
      </c>
      <c r="E253" s="6" t="inlineStr">
        <is>
          <t>-</t>
        </is>
      </c>
      <c r="F253" s="6" t="inlineStr">
        <is>
          <t>-</t>
        </is>
      </c>
      <c r="G253" s="6" t="inlineStr"/>
    </row>
    <row r="254">
      <c r="A254" s="6" t="inlineStr">
        <is>
          <t>💨高速子弹</t>
        </is>
      </c>
      <c r="B254" s="6" t="n">
        <v>33</v>
      </c>
      <c r="C254" s="7" t="inlineStr">
        <is>
          <t>弹速 ×1.2（+20%）</t>
        </is>
      </c>
      <c r="D254" s="6">
        <f>Config!I7*1.2^B254*IF(B254&gt;=3,1.1,1)</f>
        <v/>
      </c>
      <c r="E254" s="6" t="inlineStr">
        <is>
          <t>-</t>
        </is>
      </c>
      <c r="F254" s="6" t="inlineStr">
        <is>
          <t>-</t>
        </is>
      </c>
      <c r="G254" s="6" t="inlineStr"/>
    </row>
    <row r="255">
      <c r="A255" s="6" t="inlineStr">
        <is>
          <t>💨高速子弹</t>
        </is>
      </c>
      <c r="B255" s="6" t="n">
        <v>34</v>
      </c>
      <c r="C255" s="7" t="inlineStr">
        <is>
          <t>弹速 ×1.2（+20%）</t>
        </is>
      </c>
      <c r="D255" s="6">
        <f>Config!I7*1.2^B255*IF(B255&gt;=3,1.1,1)</f>
        <v/>
      </c>
      <c r="E255" s="6" t="inlineStr">
        <is>
          <t>-</t>
        </is>
      </c>
      <c r="F255" s="6" t="inlineStr">
        <is>
          <t>-</t>
        </is>
      </c>
      <c r="G255" s="6" t="inlineStr"/>
    </row>
    <row r="256">
      <c r="A256" s="6" t="inlineStr">
        <is>
          <t>💨高速子弹</t>
        </is>
      </c>
      <c r="B256" s="6" t="n">
        <v>35</v>
      </c>
      <c r="C256" s="7" t="inlineStr">
        <is>
          <t>弹速 ×1.2（+20%）</t>
        </is>
      </c>
      <c r="D256" s="6">
        <f>Config!I7*1.2^B256*IF(B256&gt;=3,1.1,1)</f>
        <v/>
      </c>
      <c r="E256" s="6" t="inlineStr">
        <is>
          <t>-</t>
        </is>
      </c>
      <c r="F256" s="6" t="inlineStr">
        <is>
          <t>-</t>
        </is>
      </c>
      <c r="G256" s="6" t="inlineStr"/>
    </row>
    <row r="257">
      <c r="A257" s="6" t="inlineStr">
        <is>
          <t>💨高速子弹</t>
        </is>
      </c>
      <c r="B257" s="6" t="n">
        <v>36</v>
      </c>
      <c r="C257" s="7" t="inlineStr">
        <is>
          <t>弹速 ×1.2（+20%）</t>
        </is>
      </c>
      <c r="D257" s="6">
        <f>Config!I7*1.2^B257*IF(B257&gt;=3,1.1,1)</f>
        <v/>
      </c>
      <c r="E257" s="6" t="inlineStr">
        <is>
          <t>-</t>
        </is>
      </c>
      <c r="F257" s="6" t="inlineStr">
        <is>
          <t>-</t>
        </is>
      </c>
      <c r="G257" s="6" t="inlineStr"/>
    </row>
    <row r="258">
      <c r="A258" s="6" t="inlineStr">
        <is>
          <t>💨高速子弹</t>
        </is>
      </c>
      <c r="B258" s="6" t="n">
        <v>37</v>
      </c>
      <c r="C258" s="7" t="inlineStr">
        <is>
          <t>弹速 ×1.2（+20%）</t>
        </is>
      </c>
      <c r="D258" s="6">
        <f>Config!I7*1.2^B258*IF(B258&gt;=3,1.1,1)</f>
        <v/>
      </c>
      <c r="E258" s="6" t="inlineStr">
        <is>
          <t>-</t>
        </is>
      </c>
      <c r="F258" s="6" t="inlineStr">
        <is>
          <t>-</t>
        </is>
      </c>
      <c r="G258" s="6" t="inlineStr"/>
    </row>
    <row r="259">
      <c r="A259" s="6" t="inlineStr">
        <is>
          <t>💨高速子弹</t>
        </is>
      </c>
      <c r="B259" s="6" t="n">
        <v>38</v>
      </c>
      <c r="C259" s="7" t="inlineStr">
        <is>
          <t>弹速 ×1.2（+20%）</t>
        </is>
      </c>
      <c r="D259" s="6">
        <f>Config!I7*1.2^B259*IF(B259&gt;=3,1.1,1)</f>
        <v/>
      </c>
      <c r="E259" s="6" t="inlineStr">
        <is>
          <t>-</t>
        </is>
      </c>
      <c r="F259" s="6" t="inlineStr">
        <is>
          <t>-</t>
        </is>
      </c>
      <c r="G259" s="6" t="inlineStr"/>
    </row>
    <row r="260">
      <c r="A260" s="6" t="inlineStr">
        <is>
          <t>💨高速子弹</t>
        </is>
      </c>
      <c r="B260" s="6" t="n">
        <v>39</v>
      </c>
      <c r="C260" s="7" t="inlineStr">
        <is>
          <t>弹速 ×1.2（+20%）</t>
        </is>
      </c>
      <c r="D260" s="6">
        <f>Config!I7*1.2^B260*IF(B260&gt;=3,1.1,1)</f>
        <v/>
      </c>
      <c r="E260" s="6" t="inlineStr">
        <is>
          <t>-</t>
        </is>
      </c>
      <c r="F260" s="6" t="inlineStr">
        <is>
          <t>-</t>
        </is>
      </c>
      <c r="G260" s="6" t="inlineStr"/>
    </row>
    <row r="261">
      <c r="A261" s="6" t="inlineStr">
        <is>
          <t>💨高速子弹</t>
        </is>
      </c>
      <c r="B261" s="6" t="n">
        <v>40</v>
      </c>
      <c r="C261" s="7" t="inlineStr">
        <is>
          <t>弹速 ×1.2（+20%）</t>
        </is>
      </c>
      <c r="D261" s="6">
        <f>Config!I7*1.2^B261*IF(B261&gt;=3,1.1,1)</f>
        <v/>
      </c>
      <c r="E261" s="6" t="inlineStr">
        <is>
          <t>-</t>
        </is>
      </c>
      <c r="F261" s="6" t="inlineStr">
        <is>
          <t>-</t>
        </is>
      </c>
      <c r="G261" s="6" t="inlineStr"/>
    </row>
    <row r="262">
      <c r="A262" s="6" t="inlineStr">
        <is>
          <t>💨高速子弹</t>
        </is>
      </c>
      <c r="B262" s="6" t="n">
        <v>41</v>
      </c>
      <c r="C262" s="7" t="inlineStr">
        <is>
          <t>弹速 ×1.2（+20%）</t>
        </is>
      </c>
      <c r="D262" s="6">
        <f>Config!I7*1.2^B262*IF(B262&gt;=3,1.1,1)</f>
        <v/>
      </c>
      <c r="E262" s="6" t="inlineStr">
        <is>
          <t>-</t>
        </is>
      </c>
      <c r="F262" s="6" t="inlineStr">
        <is>
          <t>-</t>
        </is>
      </c>
      <c r="G262" s="6" t="inlineStr"/>
    </row>
    <row r="263">
      <c r="A263" s="6" t="inlineStr">
        <is>
          <t>💨高速子弹</t>
        </is>
      </c>
      <c r="B263" s="6" t="n">
        <v>42</v>
      </c>
      <c r="C263" s="7" t="inlineStr">
        <is>
          <t>弹速 ×1.2（+20%）</t>
        </is>
      </c>
      <c r="D263" s="6">
        <f>Config!I7*1.2^B263*IF(B263&gt;=3,1.1,1)</f>
        <v/>
      </c>
      <c r="E263" s="6" t="inlineStr">
        <is>
          <t>-</t>
        </is>
      </c>
      <c r="F263" s="6" t="inlineStr">
        <is>
          <t>-</t>
        </is>
      </c>
      <c r="G263" s="6" t="inlineStr"/>
    </row>
    <row r="264">
      <c r="A264" s="6" t="inlineStr">
        <is>
          <t>💨高速子弹</t>
        </is>
      </c>
      <c r="B264" s="6" t="n">
        <v>43</v>
      </c>
      <c r="C264" s="7" t="inlineStr">
        <is>
          <t>弹速 ×1.2（+20%）</t>
        </is>
      </c>
      <c r="D264" s="6">
        <f>Config!I7*1.2^B264*IF(B264&gt;=3,1.1,1)</f>
        <v/>
      </c>
      <c r="E264" s="6" t="inlineStr">
        <is>
          <t>-</t>
        </is>
      </c>
      <c r="F264" s="6" t="inlineStr">
        <is>
          <t>-</t>
        </is>
      </c>
      <c r="G264" s="6" t="inlineStr"/>
    </row>
    <row r="265">
      <c r="A265" s="6" t="inlineStr">
        <is>
          <t>💨高速子弹</t>
        </is>
      </c>
      <c r="B265" s="6" t="n">
        <v>44</v>
      </c>
      <c r="C265" s="7" t="inlineStr">
        <is>
          <t>弹速 ×1.2（+20%）</t>
        </is>
      </c>
      <c r="D265" s="6">
        <f>Config!I7*1.2^B265*IF(B265&gt;=3,1.1,1)</f>
        <v/>
      </c>
      <c r="E265" s="6" t="inlineStr">
        <is>
          <t>-</t>
        </is>
      </c>
      <c r="F265" s="6" t="inlineStr">
        <is>
          <t>-</t>
        </is>
      </c>
      <c r="G265" s="6" t="inlineStr"/>
    </row>
    <row r="266">
      <c r="A266" s="6" t="inlineStr">
        <is>
          <t>💨高速子弹</t>
        </is>
      </c>
      <c r="B266" s="6" t="n">
        <v>45</v>
      </c>
      <c r="C266" s="7" t="inlineStr">
        <is>
          <t>弹速 ×1.2（+20%）</t>
        </is>
      </c>
      <c r="D266" s="6">
        <f>Config!I7*1.2^B266*IF(B266&gt;=3,1.1,1)</f>
        <v/>
      </c>
      <c r="E266" s="6" t="inlineStr">
        <is>
          <t>-</t>
        </is>
      </c>
      <c r="F266" s="6" t="inlineStr">
        <is>
          <t>-</t>
        </is>
      </c>
      <c r="G266" s="6" t="inlineStr"/>
    </row>
    <row r="267">
      <c r="A267" s="6" t="inlineStr">
        <is>
          <t>💨高速子弹</t>
        </is>
      </c>
      <c r="B267" s="6" t="n">
        <v>46</v>
      </c>
      <c r="C267" s="7" t="inlineStr">
        <is>
          <t>弹速 ×1.2（+20%）</t>
        </is>
      </c>
      <c r="D267" s="6">
        <f>Config!I7*1.2^B267*IF(B267&gt;=3,1.1,1)</f>
        <v/>
      </c>
      <c r="E267" s="6" t="inlineStr">
        <is>
          <t>-</t>
        </is>
      </c>
      <c r="F267" s="6" t="inlineStr">
        <is>
          <t>-</t>
        </is>
      </c>
      <c r="G267" s="6" t="inlineStr"/>
    </row>
    <row r="268">
      <c r="A268" s="6" t="inlineStr">
        <is>
          <t>💨高速子弹</t>
        </is>
      </c>
      <c r="B268" s="6" t="n">
        <v>47</v>
      </c>
      <c r="C268" s="7" t="inlineStr">
        <is>
          <t>弹速 ×1.2（+20%）</t>
        </is>
      </c>
      <c r="D268" s="6">
        <f>Config!I7*1.2^B268*IF(B268&gt;=3,1.1,1)</f>
        <v/>
      </c>
      <c r="E268" s="6" t="inlineStr">
        <is>
          <t>-</t>
        </is>
      </c>
      <c r="F268" s="6" t="inlineStr">
        <is>
          <t>-</t>
        </is>
      </c>
      <c r="G268" s="6" t="inlineStr"/>
    </row>
    <row r="269">
      <c r="A269" s="6" t="inlineStr">
        <is>
          <t>💨高速子弹</t>
        </is>
      </c>
      <c r="B269" s="6" t="n">
        <v>48</v>
      </c>
      <c r="C269" s="7" t="inlineStr">
        <is>
          <t>弹速 ×1.2（+20%）</t>
        </is>
      </c>
      <c r="D269" s="6">
        <f>Config!I7*1.2^B269*IF(B269&gt;=3,1.1,1)</f>
        <v/>
      </c>
      <c r="E269" s="6" t="inlineStr">
        <is>
          <t>-</t>
        </is>
      </c>
      <c r="F269" s="6" t="inlineStr">
        <is>
          <t>-</t>
        </is>
      </c>
      <c r="G269" s="6" t="inlineStr"/>
    </row>
    <row r="270">
      <c r="A270" s="6" t="inlineStr">
        <is>
          <t>💨高速子弹</t>
        </is>
      </c>
      <c r="B270" s="6" t="n">
        <v>49</v>
      </c>
      <c r="C270" s="7" t="inlineStr">
        <is>
          <t>弹速 ×1.2（+20%）</t>
        </is>
      </c>
      <c r="D270" s="6">
        <f>Config!I7*1.2^B270*IF(B270&gt;=3,1.1,1)</f>
        <v/>
      </c>
      <c r="E270" s="6" t="inlineStr">
        <is>
          <t>-</t>
        </is>
      </c>
      <c r="F270" s="6" t="inlineStr">
        <is>
          <t>-</t>
        </is>
      </c>
      <c r="G270" s="6" t="inlineStr"/>
    </row>
    <row r="271">
      <c r="A271" s="6" t="inlineStr">
        <is>
          <t>💨高速子弹</t>
        </is>
      </c>
      <c r="B271" s="6" t="n">
        <v>50</v>
      </c>
      <c r="C271" s="7" t="inlineStr">
        <is>
          <t>弹速 ×1.2（+20%）</t>
        </is>
      </c>
      <c r="D271" s="6">
        <f>Config!I7*1.2^B271*IF(B271&gt;=3,1.1,1)</f>
        <v/>
      </c>
      <c r="E271" s="6" t="inlineStr">
        <is>
          <t>-</t>
        </is>
      </c>
      <c r="F271" s="6" t="inlineStr">
        <is>
          <t>-</t>
        </is>
      </c>
      <c r="G271" s="6" t="inlineStr"/>
    </row>
    <row r="272">
      <c r="A272" s="6" t="inlineStr">
        <is>
          <t>💨高速子弹</t>
        </is>
      </c>
      <c r="B272" s="6" t="n">
        <v>51</v>
      </c>
      <c r="C272" s="7" t="inlineStr">
        <is>
          <t>弹速 ×1.2（+20%）</t>
        </is>
      </c>
      <c r="D272" s="6">
        <f>Config!I7*1.2^B272*IF(B272&gt;=3,1.1,1)</f>
        <v/>
      </c>
      <c r="E272" s="6" t="inlineStr">
        <is>
          <t>-</t>
        </is>
      </c>
      <c r="F272" s="6" t="inlineStr">
        <is>
          <t>-</t>
        </is>
      </c>
      <c r="G272" s="6" t="inlineStr"/>
    </row>
    <row r="273">
      <c r="A273" s="6" t="inlineStr">
        <is>
          <t>💨高速子弹</t>
        </is>
      </c>
      <c r="B273" s="6" t="n">
        <v>52</v>
      </c>
      <c r="C273" s="7" t="inlineStr">
        <is>
          <t>弹速 ×1.2（+20%）</t>
        </is>
      </c>
      <c r="D273" s="6">
        <f>Config!I7*1.2^B273*IF(B273&gt;=3,1.1,1)</f>
        <v/>
      </c>
      <c r="E273" s="6" t="inlineStr">
        <is>
          <t>-</t>
        </is>
      </c>
      <c r="F273" s="6" t="inlineStr">
        <is>
          <t>-</t>
        </is>
      </c>
      <c r="G273" s="6" t="inlineStr"/>
    </row>
    <row r="274">
      <c r="A274" s="6" t="inlineStr">
        <is>
          <t>💨高速子弹</t>
        </is>
      </c>
      <c r="B274" s="6" t="n">
        <v>53</v>
      </c>
      <c r="C274" s="7" t="inlineStr">
        <is>
          <t>弹速 ×1.2（+20%）</t>
        </is>
      </c>
      <c r="D274" s="6">
        <f>Config!I7*1.2^B274*IF(B274&gt;=3,1.1,1)</f>
        <v/>
      </c>
      <c r="E274" s="6" t="inlineStr">
        <is>
          <t>-</t>
        </is>
      </c>
      <c r="F274" s="6" t="inlineStr">
        <is>
          <t>-</t>
        </is>
      </c>
      <c r="G274" s="6" t="inlineStr"/>
    </row>
    <row r="275">
      <c r="A275" s="6" t="inlineStr">
        <is>
          <t>💨高速子弹</t>
        </is>
      </c>
      <c r="B275" s="6" t="n">
        <v>54</v>
      </c>
      <c r="C275" s="7" t="inlineStr">
        <is>
          <t>弹速 ×1.2（+20%）</t>
        </is>
      </c>
      <c r="D275" s="6">
        <f>Config!I7*1.2^B275*IF(B275&gt;=3,1.1,1)</f>
        <v/>
      </c>
      <c r="E275" s="6" t="inlineStr">
        <is>
          <t>-</t>
        </is>
      </c>
      <c r="F275" s="6" t="inlineStr">
        <is>
          <t>-</t>
        </is>
      </c>
      <c r="G275" s="6" t="inlineStr"/>
    </row>
    <row r="276">
      <c r="A276" s="6" t="inlineStr">
        <is>
          <t>💨高速子弹</t>
        </is>
      </c>
      <c r="B276" s="6" t="n">
        <v>55</v>
      </c>
      <c r="C276" s="7" t="inlineStr">
        <is>
          <t>弹速 ×1.2（+20%）</t>
        </is>
      </c>
      <c r="D276" s="6">
        <f>Config!I7*1.2^B276*IF(B276&gt;=3,1.1,1)</f>
        <v/>
      </c>
      <c r="E276" s="6" t="inlineStr">
        <is>
          <t>-</t>
        </is>
      </c>
      <c r="F276" s="6" t="inlineStr">
        <is>
          <t>-</t>
        </is>
      </c>
      <c r="G276" s="6" t="inlineStr"/>
    </row>
    <row r="277">
      <c r="A277" s="6" t="inlineStr">
        <is>
          <t>💨高速子弹</t>
        </is>
      </c>
      <c r="B277" s="6" t="n">
        <v>56</v>
      </c>
      <c r="C277" s="7" t="inlineStr">
        <is>
          <t>弹速 ×1.2（+20%）</t>
        </is>
      </c>
      <c r="D277" s="6">
        <f>Config!I7*1.2^B277*IF(B277&gt;=3,1.1,1)</f>
        <v/>
      </c>
      <c r="E277" s="6" t="inlineStr">
        <is>
          <t>-</t>
        </is>
      </c>
      <c r="F277" s="6" t="inlineStr">
        <is>
          <t>-</t>
        </is>
      </c>
      <c r="G277" s="6" t="inlineStr"/>
    </row>
    <row r="278">
      <c r="A278" s="6" t="inlineStr">
        <is>
          <t>💨高速子弹</t>
        </is>
      </c>
      <c r="B278" s="6" t="n">
        <v>57</v>
      </c>
      <c r="C278" s="7" t="inlineStr">
        <is>
          <t>弹速 ×1.2（+20%）</t>
        </is>
      </c>
      <c r="D278" s="6">
        <f>Config!I7*1.2^B278*IF(B278&gt;=3,1.1,1)</f>
        <v/>
      </c>
      <c r="E278" s="6" t="inlineStr">
        <is>
          <t>-</t>
        </is>
      </c>
      <c r="F278" s="6" t="inlineStr">
        <is>
          <t>-</t>
        </is>
      </c>
      <c r="G278" s="6" t="inlineStr"/>
    </row>
    <row r="279">
      <c r="A279" s="6" t="inlineStr">
        <is>
          <t>💨高速子弹</t>
        </is>
      </c>
      <c r="B279" s="6" t="n">
        <v>58</v>
      </c>
      <c r="C279" s="7" t="inlineStr">
        <is>
          <t>弹速 ×1.2（+20%）</t>
        </is>
      </c>
      <c r="D279" s="6">
        <f>Config!I7*1.2^B279*IF(B279&gt;=3,1.1,1)</f>
        <v/>
      </c>
      <c r="E279" s="6" t="inlineStr">
        <is>
          <t>-</t>
        </is>
      </c>
      <c r="F279" s="6" t="inlineStr">
        <is>
          <t>-</t>
        </is>
      </c>
      <c r="G279" s="6" t="inlineStr"/>
    </row>
    <row r="280">
      <c r="A280" s="6" t="inlineStr">
        <is>
          <t>💨高速子弹</t>
        </is>
      </c>
      <c r="B280" s="6" t="n">
        <v>59</v>
      </c>
      <c r="C280" s="7" t="inlineStr">
        <is>
          <t>弹速 ×1.2（+20%）</t>
        </is>
      </c>
      <c r="D280" s="6">
        <f>Config!I7*1.2^B280*IF(B280&gt;=3,1.1,1)</f>
        <v/>
      </c>
      <c r="E280" s="6" t="inlineStr">
        <is>
          <t>-</t>
        </is>
      </c>
      <c r="F280" s="6" t="inlineStr">
        <is>
          <t>-</t>
        </is>
      </c>
      <c r="G280" s="6" t="inlineStr"/>
    </row>
    <row r="281">
      <c r="A281" s="6" t="inlineStr">
        <is>
          <t>💨高速子弹</t>
        </is>
      </c>
      <c r="B281" s="6" t="n">
        <v>60</v>
      </c>
      <c r="C281" s="7" t="inlineStr">
        <is>
          <t>弹速 ×1.2（+20%）</t>
        </is>
      </c>
      <c r="D281" s="6">
        <f>Config!I7*1.2^B281*IF(B281&gt;=3,1.1,1)</f>
        <v/>
      </c>
      <c r="E281" s="6" t="inlineStr">
        <is>
          <t>-</t>
        </is>
      </c>
      <c r="F281" s="6" t="inlineStr">
        <is>
          <t>-</t>
        </is>
      </c>
      <c r="G281" s="6" t="inlineStr"/>
    </row>
    <row r="282">
      <c r="A282" s="6" t="inlineStr">
        <is>
          <t>💨高速子弹</t>
        </is>
      </c>
      <c r="B282" s="6" t="n">
        <v>61</v>
      </c>
      <c r="C282" s="7" t="inlineStr">
        <is>
          <t>弹速 ×1.2（+20%）</t>
        </is>
      </c>
      <c r="D282" s="6">
        <f>Config!I7*1.2^B282*IF(B282&gt;=3,1.1,1)</f>
        <v/>
      </c>
      <c r="E282" s="6" t="inlineStr">
        <is>
          <t>-</t>
        </is>
      </c>
      <c r="F282" s="6" t="inlineStr">
        <is>
          <t>-</t>
        </is>
      </c>
      <c r="G282" s="6" t="inlineStr"/>
    </row>
    <row r="283">
      <c r="A283" s="6" t="inlineStr">
        <is>
          <t>💨高速子弹</t>
        </is>
      </c>
      <c r="B283" s="6" t="n">
        <v>62</v>
      </c>
      <c r="C283" s="7" t="inlineStr">
        <is>
          <t>弹速 ×1.2（+20%）</t>
        </is>
      </c>
      <c r="D283" s="6">
        <f>Config!I7*1.2^B283*IF(B283&gt;=3,1.1,1)</f>
        <v/>
      </c>
      <c r="E283" s="6" t="inlineStr">
        <is>
          <t>-</t>
        </is>
      </c>
      <c r="F283" s="6" t="inlineStr">
        <is>
          <t>-</t>
        </is>
      </c>
      <c r="G283" s="6" t="inlineStr"/>
    </row>
    <row r="284">
      <c r="A284" s="6" t="inlineStr">
        <is>
          <t>💨高速子弹</t>
        </is>
      </c>
      <c r="B284" s="6" t="n">
        <v>63</v>
      </c>
      <c r="C284" s="7" t="inlineStr">
        <is>
          <t>弹速 ×1.2（+20%）</t>
        </is>
      </c>
      <c r="D284" s="6">
        <f>Config!I7*1.2^B284*IF(B284&gt;=3,1.1,1)</f>
        <v/>
      </c>
      <c r="E284" s="6" t="inlineStr">
        <is>
          <t>-</t>
        </is>
      </c>
      <c r="F284" s="6" t="inlineStr">
        <is>
          <t>-</t>
        </is>
      </c>
      <c r="G284" s="6" t="inlineStr"/>
    </row>
    <row r="285">
      <c r="A285" s="6" t="inlineStr">
        <is>
          <t>💨高速子弹</t>
        </is>
      </c>
      <c r="B285" s="6" t="n">
        <v>64</v>
      </c>
      <c r="C285" s="7" t="inlineStr">
        <is>
          <t>弹速 ×1.2（+20%）</t>
        </is>
      </c>
      <c r="D285" s="6">
        <f>Config!I7*1.2^B285*IF(B285&gt;=3,1.1,1)</f>
        <v/>
      </c>
      <c r="E285" s="6" t="inlineStr">
        <is>
          <t>-</t>
        </is>
      </c>
      <c r="F285" s="6" t="inlineStr">
        <is>
          <t>-</t>
        </is>
      </c>
      <c r="G285" s="6" t="inlineStr"/>
    </row>
    <row r="286">
      <c r="A286" s="6" t="inlineStr">
        <is>
          <t>💨高速子弹</t>
        </is>
      </c>
      <c r="B286" s="6" t="n">
        <v>65</v>
      </c>
      <c r="C286" s="7" t="inlineStr">
        <is>
          <t>弹速 ×1.2（+20%）</t>
        </is>
      </c>
      <c r="D286" s="6">
        <f>Config!I7*1.2^B286*IF(B286&gt;=3,1.1,1)</f>
        <v/>
      </c>
      <c r="E286" s="6" t="inlineStr">
        <is>
          <t>-</t>
        </is>
      </c>
      <c r="F286" s="6" t="inlineStr">
        <is>
          <t>-</t>
        </is>
      </c>
      <c r="G286" s="6" t="inlineStr"/>
    </row>
    <row r="287">
      <c r="A287" s="6" t="inlineStr">
        <is>
          <t>💨高速子弹</t>
        </is>
      </c>
      <c r="B287" s="6" t="n">
        <v>66</v>
      </c>
      <c r="C287" s="7" t="inlineStr">
        <is>
          <t>弹速 ×1.2（+20%）</t>
        </is>
      </c>
      <c r="D287" s="6">
        <f>Config!I7*1.2^B287*IF(B287&gt;=3,1.1,1)</f>
        <v/>
      </c>
      <c r="E287" s="6" t="inlineStr">
        <is>
          <t>-</t>
        </is>
      </c>
      <c r="F287" s="6" t="inlineStr">
        <is>
          <t>-</t>
        </is>
      </c>
      <c r="G287" s="6" t="inlineStr"/>
    </row>
    <row r="288">
      <c r="A288" s="6" t="inlineStr">
        <is>
          <t>💨高速子弹</t>
        </is>
      </c>
      <c r="B288" s="6" t="n">
        <v>67</v>
      </c>
      <c r="C288" s="7" t="inlineStr">
        <is>
          <t>弹速 ×1.2（+20%）</t>
        </is>
      </c>
      <c r="D288" s="6">
        <f>Config!I7*1.2^B288*IF(B288&gt;=3,1.1,1)</f>
        <v/>
      </c>
      <c r="E288" s="6" t="inlineStr">
        <is>
          <t>-</t>
        </is>
      </c>
      <c r="F288" s="6" t="inlineStr">
        <is>
          <t>-</t>
        </is>
      </c>
      <c r="G288" s="6" t="inlineStr"/>
    </row>
    <row r="289">
      <c r="A289" s="6" t="inlineStr">
        <is>
          <t>💨高速子弹</t>
        </is>
      </c>
      <c r="B289" s="6" t="n">
        <v>68</v>
      </c>
      <c r="C289" s="7" t="inlineStr">
        <is>
          <t>弹速 ×1.2（+20%）</t>
        </is>
      </c>
      <c r="D289" s="6">
        <f>Config!I7*1.2^B289*IF(B289&gt;=3,1.1,1)</f>
        <v/>
      </c>
      <c r="E289" s="6" t="inlineStr">
        <is>
          <t>-</t>
        </is>
      </c>
      <c r="F289" s="6" t="inlineStr">
        <is>
          <t>-</t>
        </is>
      </c>
      <c r="G289" s="6" t="inlineStr"/>
    </row>
    <row r="290">
      <c r="A290" s="6" t="inlineStr">
        <is>
          <t>💨高速子弹</t>
        </is>
      </c>
      <c r="B290" s="6" t="n">
        <v>69</v>
      </c>
      <c r="C290" s="7" t="inlineStr">
        <is>
          <t>弹速 ×1.2（+20%）</t>
        </is>
      </c>
      <c r="D290" s="6">
        <f>Config!I7*1.2^B290*IF(B290&gt;=3,1.1,1)</f>
        <v/>
      </c>
      <c r="E290" s="6" t="inlineStr">
        <is>
          <t>-</t>
        </is>
      </c>
      <c r="F290" s="6" t="inlineStr">
        <is>
          <t>-</t>
        </is>
      </c>
      <c r="G290" s="6" t="inlineStr"/>
    </row>
    <row r="291">
      <c r="A291" s="6" t="inlineStr">
        <is>
          <t>💨高速子弹</t>
        </is>
      </c>
      <c r="B291" s="6" t="n">
        <v>70</v>
      </c>
      <c r="C291" s="7" t="inlineStr">
        <is>
          <t>弹速 ×1.2（+20%）</t>
        </is>
      </c>
      <c r="D291" s="6">
        <f>Config!I7*1.2^B291*IF(B291&gt;=3,1.1,1)</f>
        <v/>
      </c>
      <c r="E291" s="6" t="inlineStr">
        <is>
          <t>-</t>
        </is>
      </c>
      <c r="F291" s="6" t="inlineStr">
        <is>
          <t>-</t>
        </is>
      </c>
      <c r="G291" s="6" t="inlineStr"/>
    </row>
    <row r="292">
      <c r="A292" s="6" t="inlineStr">
        <is>
          <t>💨高速子弹</t>
        </is>
      </c>
      <c r="B292" s="6" t="n">
        <v>71</v>
      </c>
      <c r="C292" s="7" t="inlineStr">
        <is>
          <t>弹速 ×1.2（+20%）</t>
        </is>
      </c>
      <c r="D292" s="6">
        <f>Config!I7*1.2^B292*IF(B292&gt;=3,1.1,1)</f>
        <v/>
      </c>
      <c r="E292" s="6" t="inlineStr">
        <is>
          <t>-</t>
        </is>
      </c>
      <c r="F292" s="6" t="inlineStr">
        <is>
          <t>-</t>
        </is>
      </c>
      <c r="G292" s="6" t="inlineStr"/>
    </row>
    <row r="293">
      <c r="A293" s="6" t="inlineStr">
        <is>
          <t>💨高速子弹</t>
        </is>
      </c>
      <c r="B293" s="6" t="n">
        <v>72</v>
      </c>
      <c r="C293" s="7" t="inlineStr">
        <is>
          <t>弹速 ×1.2（+20%）</t>
        </is>
      </c>
      <c r="D293" s="6">
        <f>Config!I7*1.2^B293*IF(B293&gt;=3,1.1,1)</f>
        <v/>
      </c>
      <c r="E293" s="6" t="inlineStr">
        <is>
          <t>-</t>
        </is>
      </c>
      <c r="F293" s="6" t="inlineStr">
        <is>
          <t>-</t>
        </is>
      </c>
      <c r="G293" s="6" t="inlineStr"/>
    </row>
    <row r="294">
      <c r="A294" s="6" t="inlineStr">
        <is>
          <t>💨高速子弹</t>
        </is>
      </c>
      <c r="B294" s="6" t="n">
        <v>73</v>
      </c>
      <c r="C294" s="7" t="inlineStr">
        <is>
          <t>弹速 ×1.2（+20%）</t>
        </is>
      </c>
      <c r="D294" s="6">
        <f>Config!I7*1.2^B294*IF(B294&gt;=3,1.1,1)</f>
        <v/>
      </c>
      <c r="E294" s="6" t="inlineStr">
        <is>
          <t>-</t>
        </is>
      </c>
      <c r="F294" s="6" t="inlineStr">
        <is>
          <t>-</t>
        </is>
      </c>
      <c r="G294" s="6" t="inlineStr"/>
    </row>
    <row r="295">
      <c r="A295" s="6" t="inlineStr">
        <is>
          <t>💨高速子弹</t>
        </is>
      </c>
      <c r="B295" s="6" t="n">
        <v>74</v>
      </c>
      <c r="C295" s="7" t="inlineStr">
        <is>
          <t>弹速 ×1.2（+20%）</t>
        </is>
      </c>
      <c r="D295" s="6">
        <f>Config!I7*1.2^B295*IF(B295&gt;=3,1.1,1)</f>
        <v/>
      </c>
      <c r="E295" s="6" t="inlineStr">
        <is>
          <t>-</t>
        </is>
      </c>
      <c r="F295" s="6" t="inlineStr">
        <is>
          <t>-</t>
        </is>
      </c>
      <c r="G295" s="6" t="inlineStr"/>
    </row>
    <row r="296">
      <c r="A296" s="6" t="inlineStr">
        <is>
          <t>💨高速子弹</t>
        </is>
      </c>
      <c r="B296" s="6" t="n">
        <v>75</v>
      </c>
      <c r="C296" s="7" t="inlineStr">
        <is>
          <t>弹速 ×1.2（+20%）</t>
        </is>
      </c>
      <c r="D296" s="6">
        <f>Config!I7*1.2^B296*IF(B296&gt;=3,1.1,1)</f>
        <v/>
      </c>
      <c r="E296" s="6" t="inlineStr">
        <is>
          <t>-</t>
        </is>
      </c>
      <c r="F296" s="6" t="inlineStr">
        <is>
          <t>-</t>
        </is>
      </c>
      <c r="G296" s="6" t="inlineStr"/>
    </row>
    <row r="297">
      <c r="A297" s="6" t="inlineStr">
        <is>
          <t>💨高速子弹</t>
        </is>
      </c>
      <c r="B297" s="6" t="n">
        <v>76</v>
      </c>
      <c r="C297" s="7" t="inlineStr">
        <is>
          <t>弹速 ×1.2（+20%）</t>
        </is>
      </c>
      <c r="D297" s="6">
        <f>Config!I7*1.2^B297*IF(B297&gt;=3,1.1,1)</f>
        <v/>
      </c>
      <c r="E297" s="6" t="inlineStr">
        <is>
          <t>-</t>
        </is>
      </c>
      <c r="F297" s="6" t="inlineStr">
        <is>
          <t>-</t>
        </is>
      </c>
      <c r="G297" s="6" t="inlineStr"/>
    </row>
    <row r="298">
      <c r="A298" s="6" t="inlineStr">
        <is>
          <t>💨高速子弹</t>
        </is>
      </c>
      <c r="B298" s="6" t="n">
        <v>77</v>
      </c>
      <c r="C298" s="7" t="inlineStr">
        <is>
          <t>弹速 ×1.2（+20%）</t>
        </is>
      </c>
      <c r="D298" s="6">
        <f>Config!I7*1.2^B298*IF(B298&gt;=3,1.1,1)</f>
        <v/>
      </c>
      <c r="E298" s="6" t="inlineStr">
        <is>
          <t>-</t>
        </is>
      </c>
      <c r="F298" s="6" t="inlineStr">
        <is>
          <t>-</t>
        </is>
      </c>
      <c r="G298" s="6" t="inlineStr"/>
    </row>
    <row r="299">
      <c r="A299" s="6" t="inlineStr">
        <is>
          <t>💨高速子弹</t>
        </is>
      </c>
      <c r="B299" s="6" t="n">
        <v>78</v>
      </c>
      <c r="C299" s="7" t="inlineStr">
        <is>
          <t>弹速 ×1.2（+20%）</t>
        </is>
      </c>
      <c r="D299" s="6">
        <f>Config!I7*1.2^B299*IF(B299&gt;=3,1.1,1)</f>
        <v/>
      </c>
      <c r="E299" s="6" t="inlineStr">
        <is>
          <t>-</t>
        </is>
      </c>
      <c r="F299" s="6" t="inlineStr">
        <is>
          <t>-</t>
        </is>
      </c>
      <c r="G299" s="6" t="inlineStr"/>
    </row>
    <row r="300">
      <c r="A300" s="6" t="inlineStr">
        <is>
          <t>💨高速子弹</t>
        </is>
      </c>
      <c r="B300" s="6" t="n">
        <v>79</v>
      </c>
      <c r="C300" s="7" t="inlineStr">
        <is>
          <t>弹速 ×1.2（+20%）</t>
        </is>
      </c>
      <c r="D300" s="6">
        <f>Config!I7*1.2^B300*IF(B300&gt;=3,1.1,1)</f>
        <v/>
      </c>
      <c r="E300" s="6" t="inlineStr">
        <is>
          <t>-</t>
        </is>
      </c>
      <c r="F300" s="6" t="inlineStr">
        <is>
          <t>-</t>
        </is>
      </c>
      <c r="G300" s="6" t="inlineStr"/>
    </row>
    <row r="301">
      <c r="A301" s="6" t="inlineStr">
        <is>
          <t>💨高速子弹</t>
        </is>
      </c>
      <c r="B301" s="6" t="n">
        <v>80</v>
      </c>
      <c r="C301" s="7" t="inlineStr">
        <is>
          <t>弹速 ×1.2（+20%）</t>
        </is>
      </c>
      <c r="D301" s="6">
        <f>Config!I7*1.2^B301*IF(B301&gt;=3,1.1,1)</f>
        <v/>
      </c>
      <c r="E301" s="6" t="inlineStr">
        <is>
          <t>-</t>
        </is>
      </c>
      <c r="F301" s="6" t="inlineStr">
        <is>
          <t>-</t>
        </is>
      </c>
      <c r="G301" s="6" t="inlineStr"/>
    </row>
    <row r="302">
      <c r="A302" s="6" t="inlineStr">
        <is>
          <t>💨高速子弹</t>
        </is>
      </c>
      <c r="B302" s="6" t="n">
        <v>81</v>
      </c>
      <c r="C302" s="7" t="inlineStr">
        <is>
          <t>弹速 ×1.2（+20%）</t>
        </is>
      </c>
      <c r="D302" s="6">
        <f>Config!I7*1.2^B302*IF(B302&gt;=3,1.1,1)</f>
        <v/>
      </c>
      <c r="E302" s="6" t="inlineStr">
        <is>
          <t>-</t>
        </is>
      </c>
      <c r="F302" s="6" t="inlineStr">
        <is>
          <t>-</t>
        </is>
      </c>
      <c r="G302" s="6" t="inlineStr"/>
    </row>
    <row r="303">
      <c r="A303" s="6" t="inlineStr">
        <is>
          <t>💨高速子弹</t>
        </is>
      </c>
      <c r="B303" s="6" t="n">
        <v>82</v>
      </c>
      <c r="C303" s="7" t="inlineStr">
        <is>
          <t>弹速 ×1.2（+20%）</t>
        </is>
      </c>
      <c r="D303" s="6">
        <f>Config!I7*1.2^B303*IF(B303&gt;=3,1.1,1)</f>
        <v/>
      </c>
      <c r="E303" s="6" t="inlineStr">
        <is>
          <t>-</t>
        </is>
      </c>
      <c r="F303" s="6" t="inlineStr">
        <is>
          <t>-</t>
        </is>
      </c>
      <c r="G303" s="6" t="inlineStr"/>
    </row>
    <row r="304">
      <c r="A304" s="6" t="inlineStr">
        <is>
          <t>💨高速子弹</t>
        </is>
      </c>
      <c r="B304" s="6" t="n">
        <v>83</v>
      </c>
      <c r="C304" s="7" t="inlineStr">
        <is>
          <t>弹速 ×1.2（+20%）</t>
        </is>
      </c>
      <c r="D304" s="6">
        <f>Config!I7*1.2^B304*IF(B304&gt;=3,1.1,1)</f>
        <v/>
      </c>
      <c r="E304" s="6" t="inlineStr">
        <is>
          <t>-</t>
        </is>
      </c>
      <c r="F304" s="6" t="inlineStr">
        <is>
          <t>-</t>
        </is>
      </c>
      <c r="G304" s="6" t="inlineStr"/>
    </row>
    <row r="305">
      <c r="A305" s="6" t="inlineStr">
        <is>
          <t>💨高速子弹</t>
        </is>
      </c>
      <c r="B305" s="6" t="n">
        <v>84</v>
      </c>
      <c r="C305" s="7" t="inlineStr">
        <is>
          <t>弹速 ×1.2（+20%）</t>
        </is>
      </c>
      <c r="D305" s="6">
        <f>Config!I7*1.2^B305*IF(B305&gt;=3,1.1,1)</f>
        <v/>
      </c>
      <c r="E305" s="6" t="inlineStr">
        <is>
          <t>-</t>
        </is>
      </c>
      <c r="F305" s="6" t="inlineStr">
        <is>
          <t>-</t>
        </is>
      </c>
      <c r="G305" s="6" t="inlineStr"/>
    </row>
    <row r="306">
      <c r="A306" s="6" t="inlineStr">
        <is>
          <t>💨高速子弹</t>
        </is>
      </c>
      <c r="B306" s="6" t="n">
        <v>85</v>
      </c>
      <c r="C306" s="7" t="inlineStr">
        <is>
          <t>弹速 ×1.2（+20%）</t>
        </is>
      </c>
      <c r="D306" s="6">
        <f>Config!I7*1.2^B306*IF(B306&gt;=3,1.1,1)</f>
        <v/>
      </c>
      <c r="E306" s="6" t="inlineStr">
        <is>
          <t>-</t>
        </is>
      </c>
      <c r="F306" s="6" t="inlineStr">
        <is>
          <t>-</t>
        </is>
      </c>
      <c r="G306" s="6" t="inlineStr"/>
    </row>
    <row r="307">
      <c r="A307" s="6" t="inlineStr">
        <is>
          <t>💨高速子弹</t>
        </is>
      </c>
      <c r="B307" s="6" t="n">
        <v>86</v>
      </c>
      <c r="C307" s="7" t="inlineStr">
        <is>
          <t>弹速 ×1.2（+20%）</t>
        </is>
      </c>
      <c r="D307" s="6">
        <f>Config!I7*1.2^B307*IF(B307&gt;=3,1.1,1)</f>
        <v/>
      </c>
      <c r="E307" s="6" t="inlineStr">
        <is>
          <t>-</t>
        </is>
      </c>
      <c r="F307" s="6" t="inlineStr">
        <is>
          <t>-</t>
        </is>
      </c>
      <c r="G307" s="6" t="inlineStr"/>
    </row>
    <row r="308">
      <c r="A308" s="6" t="inlineStr">
        <is>
          <t>💨高速子弹</t>
        </is>
      </c>
      <c r="B308" s="6" t="n">
        <v>87</v>
      </c>
      <c r="C308" s="7" t="inlineStr">
        <is>
          <t>弹速 ×1.2（+20%）</t>
        </is>
      </c>
      <c r="D308" s="6">
        <f>Config!I7*1.2^B308*IF(B308&gt;=3,1.1,1)</f>
        <v/>
      </c>
      <c r="E308" s="6" t="inlineStr">
        <is>
          <t>-</t>
        </is>
      </c>
      <c r="F308" s="6" t="inlineStr">
        <is>
          <t>-</t>
        </is>
      </c>
      <c r="G308" s="6" t="inlineStr"/>
    </row>
    <row r="309">
      <c r="A309" s="6" t="inlineStr">
        <is>
          <t>💨高速子弹</t>
        </is>
      </c>
      <c r="B309" s="6" t="n">
        <v>88</v>
      </c>
      <c r="C309" s="7" t="inlineStr">
        <is>
          <t>弹速 ×1.2（+20%）</t>
        </is>
      </c>
      <c r="D309" s="6">
        <f>Config!I7*1.2^B309*IF(B309&gt;=3,1.1,1)</f>
        <v/>
      </c>
      <c r="E309" s="6" t="inlineStr">
        <is>
          <t>-</t>
        </is>
      </c>
      <c r="F309" s="6" t="inlineStr">
        <is>
          <t>-</t>
        </is>
      </c>
      <c r="G309" s="6" t="inlineStr"/>
    </row>
    <row r="310">
      <c r="A310" s="6" t="inlineStr">
        <is>
          <t>💨高速子弹</t>
        </is>
      </c>
      <c r="B310" s="6" t="n">
        <v>89</v>
      </c>
      <c r="C310" s="7" t="inlineStr">
        <is>
          <t>弹速 ×1.2（+20%）</t>
        </is>
      </c>
      <c r="D310" s="6">
        <f>Config!I7*1.2^B310*IF(B310&gt;=3,1.1,1)</f>
        <v/>
      </c>
      <c r="E310" s="6" t="inlineStr">
        <is>
          <t>-</t>
        </is>
      </c>
      <c r="F310" s="6" t="inlineStr">
        <is>
          <t>-</t>
        </is>
      </c>
      <c r="G310" s="6" t="inlineStr"/>
    </row>
    <row r="311">
      <c r="A311" s="6" t="inlineStr">
        <is>
          <t>💨高速子弹</t>
        </is>
      </c>
      <c r="B311" s="6" t="n">
        <v>90</v>
      </c>
      <c r="C311" s="7" t="inlineStr">
        <is>
          <t>弹速 ×1.2（+20%）</t>
        </is>
      </c>
      <c r="D311" s="6">
        <f>Config!I7*1.2^B311*IF(B311&gt;=3,1.1,1)</f>
        <v/>
      </c>
      <c r="E311" s="6" t="inlineStr">
        <is>
          <t>-</t>
        </is>
      </c>
      <c r="F311" s="6" t="inlineStr">
        <is>
          <t>-</t>
        </is>
      </c>
      <c r="G311" s="6" t="inlineStr"/>
    </row>
    <row r="312">
      <c r="A312" s="6" t="inlineStr">
        <is>
          <t>💨高速子弹</t>
        </is>
      </c>
      <c r="B312" s="6" t="n">
        <v>91</v>
      </c>
      <c r="C312" s="7" t="inlineStr">
        <is>
          <t>弹速 ×1.2（+20%）</t>
        </is>
      </c>
      <c r="D312" s="6">
        <f>Config!I7*1.2^B312*IF(B312&gt;=3,1.1,1)</f>
        <v/>
      </c>
      <c r="E312" s="6" t="inlineStr">
        <is>
          <t>-</t>
        </is>
      </c>
      <c r="F312" s="6" t="inlineStr">
        <is>
          <t>-</t>
        </is>
      </c>
      <c r="G312" s="6" t="inlineStr"/>
    </row>
    <row r="313">
      <c r="A313" s="6" t="inlineStr">
        <is>
          <t>💨高速子弹</t>
        </is>
      </c>
      <c r="B313" s="6" t="n">
        <v>92</v>
      </c>
      <c r="C313" s="7" t="inlineStr">
        <is>
          <t>弹速 ×1.2（+20%）</t>
        </is>
      </c>
      <c r="D313" s="6">
        <f>Config!I7*1.2^B313*IF(B313&gt;=3,1.1,1)</f>
        <v/>
      </c>
      <c r="E313" s="6" t="inlineStr">
        <is>
          <t>-</t>
        </is>
      </c>
      <c r="F313" s="6" t="inlineStr">
        <is>
          <t>-</t>
        </is>
      </c>
      <c r="G313" s="6" t="inlineStr"/>
    </row>
    <row r="314">
      <c r="A314" s="6" t="inlineStr">
        <is>
          <t>💨高速子弹</t>
        </is>
      </c>
      <c r="B314" s="6" t="n">
        <v>93</v>
      </c>
      <c r="C314" s="7" t="inlineStr">
        <is>
          <t>弹速 ×1.2（+20%）</t>
        </is>
      </c>
      <c r="D314" s="6">
        <f>Config!I7*1.2^B314*IF(B314&gt;=3,1.1,1)</f>
        <v/>
      </c>
      <c r="E314" s="6" t="inlineStr">
        <is>
          <t>-</t>
        </is>
      </c>
      <c r="F314" s="6" t="inlineStr">
        <is>
          <t>-</t>
        </is>
      </c>
      <c r="G314" s="6" t="inlineStr"/>
    </row>
    <row r="315">
      <c r="A315" s="6" t="inlineStr">
        <is>
          <t>💨高速子弹</t>
        </is>
      </c>
      <c r="B315" s="6" t="n">
        <v>94</v>
      </c>
      <c r="C315" s="7" t="inlineStr">
        <is>
          <t>弹速 ×1.2（+20%）</t>
        </is>
      </c>
      <c r="D315" s="6">
        <f>Config!I7*1.2^B315*IF(B315&gt;=3,1.1,1)</f>
        <v/>
      </c>
      <c r="E315" s="6" t="inlineStr">
        <is>
          <t>-</t>
        </is>
      </c>
      <c r="F315" s="6" t="inlineStr">
        <is>
          <t>-</t>
        </is>
      </c>
      <c r="G315" s="6" t="inlineStr"/>
    </row>
    <row r="316">
      <c r="A316" s="6" t="inlineStr">
        <is>
          <t>💨高速子弹</t>
        </is>
      </c>
      <c r="B316" s="6" t="n">
        <v>95</v>
      </c>
      <c r="C316" s="7" t="inlineStr">
        <is>
          <t>弹速 ×1.2（+20%）</t>
        </is>
      </c>
      <c r="D316" s="6">
        <f>Config!I7*1.2^B316*IF(B316&gt;=3,1.1,1)</f>
        <v/>
      </c>
      <c r="E316" s="6" t="inlineStr">
        <is>
          <t>-</t>
        </is>
      </c>
      <c r="F316" s="6" t="inlineStr">
        <is>
          <t>-</t>
        </is>
      </c>
      <c r="G316" s="6" t="inlineStr"/>
    </row>
    <row r="317">
      <c r="A317" s="6" t="inlineStr">
        <is>
          <t>💨高速子弹</t>
        </is>
      </c>
      <c r="B317" s="6" t="n">
        <v>96</v>
      </c>
      <c r="C317" s="7" t="inlineStr">
        <is>
          <t>弹速 ×1.2（+20%）</t>
        </is>
      </c>
      <c r="D317" s="6">
        <f>Config!I7*1.2^B317*IF(B317&gt;=3,1.1,1)</f>
        <v/>
      </c>
      <c r="E317" s="6" t="inlineStr">
        <is>
          <t>-</t>
        </is>
      </c>
      <c r="F317" s="6" t="inlineStr">
        <is>
          <t>-</t>
        </is>
      </c>
      <c r="G317" s="6" t="inlineStr"/>
    </row>
    <row r="318">
      <c r="A318" s="6" t="inlineStr">
        <is>
          <t>💨高速子弹</t>
        </is>
      </c>
      <c r="B318" s="6" t="n">
        <v>97</v>
      </c>
      <c r="C318" s="7" t="inlineStr">
        <is>
          <t>弹速 ×1.2（+20%）</t>
        </is>
      </c>
      <c r="D318" s="6">
        <f>Config!I7*1.2^B318*IF(B318&gt;=3,1.1,1)</f>
        <v/>
      </c>
      <c r="E318" s="6" t="inlineStr">
        <is>
          <t>-</t>
        </is>
      </c>
      <c r="F318" s="6" t="inlineStr">
        <is>
          <t>-</t>
        </is>
      </c>
      <c r="G318" s="6" t="inlineStr"/>
    </row>
    <row r="319">
      <c r="A319" s="6" t="inlineStr">
        <is>
          <t>💨高速子弹</t>
        </is>
      </c>
      <c r="B319" s="6" t="n">
        <v>98</v>
      </c>
      <c r="C319" s="7" t="inlineStr">
        <is>
          <t>弹速 ×1.2（+20%）</t>
        </is>
      </c>
      <c r="D319" s="6">
        <f>Config!I7*1.2^B319*IF(B319&gt;=3,1.1,1)</f>
        <v/>
      </c>
      <c r="E319" s="6" t="inlineStr">
        <is>
          <t>-</t>
        </is>
      </c>
      <c r="F319" s="6" t="inlineStr">
        <is>
          <t>-</t>
        </is>
      </c>
      <c r="G319" s="6" t="inlineStr"/>
    </row>
    <row r="320">
      <c r="A320" s="6" t="inlineStr">
        <is>
          <t>💨高速子弹</t>
        </is>
      </c>
      <c r="B320" s="6" t="n">
        <v>99</v>
      </c>
      <c r="C320" s="7" t="inlineStr">
        <is>
          <t>弹速 ×1.2（+20%）</t>
        </is>
      </c>
      <c r="D320" s="6">
        <f>Config!I7*1.2^B320*IF(B320&gt;=3,1.1,1)</f>
        <v/>
      </c>
      <c r="E320" s="6" t="inlineStr">
        <is>
          <t>-</t>
        </is>
      </c>
      <c r="F320" s="6" t="inlineStr">
        <is>
          <t>-</t>
        </is>
      </c>
      <c r="G320" s="6" t="inlineStr"/>
    </row>
    <row r="321">
      <c r="A321" s="6" t="inlineStr">
        <is>
          <t>🗡️穿透弹</t>
        </is>
      </c>
      <c r="B321" s="6" t="n">
        <v>1</v>
      </c>
      <c r="C321" s="7" t="inlineStr">
        <is>
          <t>穿透 +1</t>
        </is>
      </c>
      <c r="D321" s="6">
        <f>Config!I8+B321+IF(B321&gt;=3,1,0)</f>
        <v/>
      </c>
      <c r="E321" s="6" t="inlineStr">
        <is>
          <t>-</t>
        </is>
      </c>
      <c r="F321" s="6" t="inlineStr">
        <is>
          <t>-</t>
        </is>
      </c>
      <c r="G321" s="6" t="inlineStr"/>
    </row>
    <row r="322">
      <c r="A322" s="6" t="inlineStr">
        <is>
          <t>🗡️穿透弹</t>
        </is>
      </c>
      <c r="B322" s="6" t="n">
        <v>2</v>
      </c>
      <c r="C322" s="7" t="inlineStr">
        <is>
          <t>穿透 +1</t>
        </is>
      </c>
      <c r="D322" s="6">
        <f>Config!I8+B322+IF(B322&gt;=3,1,0)</f>
        <v/>
      </c>
      <c r="E322" s="6" t="inlineStr">
        <is>
          <t>-</t>
        </is>
      </c>
      <c r="F322" s="6" t="inlineStr">
        <is>
          <t>-</t>
        </is>
      </c>
      <c r="G322" s="6" t="inlineStr"/>
    </row>
    <row r="323">
      <c r="A323" s="8" t="inlineStr">
        <is>
          <t>🗡️穿透弹</t>
        </is>
      </c>
      <c r="B323" s="8" t="n">
        <v>3</v>
      </c>
      <c r="C323" s="9" t="inlineStr">
        <is>
          <t>穿透 +1</t>
        </is>
      </c>
      <c r="D323" s="8">
        <f>Config!I8+B323+IF(B323&gt;=3,1,0)</f>
        <v/>
      </c>
      <c r="E323" s="8" t="inlineStr">
        <is>
          <t>-</t>
        </is>
      </c>
      <c r="F323" s="8" t="inlineStr">
        <is>
          <t>-</t>
        </is>
      </c>
      <c r="G323" s="8" t="inlineStr">
        <is>
          <t>★Lv3质变</t>
        </is>
      </c>
    </row>
    <row r="324">
      <c r="A324" s="6" t="inlineStr">
        <is>
          <t>🗡️穿透弹</t>
        </is>
      </c>
      <c r="B324" s="6" t="n">
        <v>4</v>
      </c>
      <c r="C324" s="7" t="inlineStr">
        <is>
          <t>穿透 +1</t>
        </is>
      </c>
      <c r="D324" s="6">
        <f>Config!I8+B324+IF(B324&gt;=3,1,0)</f>
        <v/>
      </c>
      <c r="E324" s="6" t="inlineStr">
        <is>
          <t>-</t>
        </is>
      </c>
      <c r="F324" s="6" t="inlineStr">
        <is>
          <t>-</t>
        </is>
      </c>
      <c r="G324" s="6" t="inlineStr"/>
    </row>
    <row r="325">
      <c r="A325" s="8" t="inlineStr">
        <is>
          <t>🗡️穿透弹</t>
        </is>
      </c>
      <c r="B325" s="8" t="n">
        <v>5</v>
      </c>
      <c r="C325" s="9" t="inlineStr">
        <is>
          <t>穿透命中溅射小范围</t>
        </is>
      </c>
      <c r="D325" s="8">
        <f>Config!I8+B325+IF(B325&gt;=3,1,0)</f>
        <v/>
      </c>
      <c r="E325" s="8" t="inlineStr">
        <is>
          <t>-</t>
        </is>
      </c>
      <c r="F325" s="8" t="inlineStr">
        <is>
          <t>-</t>
        </is>
      </c>
      <c r="G325" s="8" t="inlineStr">
        <is>
          <t>★Lv5质变</t>
        </is>
      </c>
    </row>
    <row r="326">
      <c r="A326" s="6" t="inlineStr">
        <is>
          <t>🗡️穿透弹</t>
        </is>
      </c>
      <c r="B326" s="6" t="n">
        <v>6</v>
      </c>
      <c r="C326" s="7" t="inlineStr">
        <is>
          <t>穿透 +1</t>
        </is>
      </c>
      <c r="D326" s="6">
        <f>Config!I8+B326+IF(B326&gt;=3,1,0)</f>
        <v/>
      </c>
      <c r="E326" s="6" t="inlineStr">
        <is>
          <t>-</t>
        </is>
      </c>
      <c r="F326" s="6" t="inlineStr">
        <is>
          <t>-</t>
        </is>
      </c>
      <c r="G326" s="6" t="inlineStr"/>
    </row>
    <row r="327">
      <c r="A327" s="6" t="inlineStr">
        <is>
          <t>🗡️穿透弹</t>
        </is>
      </c>
      <c r="B327" s="6" t="n">
        <v>7</v>
      </c>
      <c r="C327" s="7" t="inlineStr">
        <is>
          <t>穿透 +1</t>
        </is>
      </c>
      <c r="D327" s="6">
        <f>Config!I8+B327+IF(B327&gt;=3,1,0)</f>
        <v/>
      </c>
      <c r="E327" s="6" t="inlineStr">
        <is>
          <t>-</t>
        </is>
      </c>
      <c r="F327" s="6" t="inlineStr">
        <is>
          <t>-</t>
        </is>
      </c>
      <c r="G327" s="6" t="inlineStr"/>
    </row>
    <row r="328">
      <c r="A328" s="6" t="inlineStr">
        <is>
          <t>🗡️穿透弹</t>
        </is>
      </c>
      <c r="B328" s="6" t="n">
        <v>8</v>
      </c>
      <c r="C328" s="7" t="inlineStr">
        <is>
          <t>穿透 +1</t>
        </is>
      </c>
      <c r="D328" s="6">
        <f>Config!I8+B328+IF(B328&gt;=3,1,0)</f>
        <v/>
      </c>
      <c r="E328" s="6" t="inlineStr">
        <is>
          <t>-</t>
        </is>
      </c>
      <c r="F328" s="6" t="inlineStr">
        <is>
          <t>-</t>
        </is>
      </c>
      <c r="G328" s="6" t="inlineStr"/>
    </row>
    <row r="329">
      <c r="A329" s="6" t="inlineStr">
        <is>
          <t>🗡️穿透弹</t>
        </is>
      </c>
      <c r="B329" s="6" t="n">
        <v>9</v>
      </c>
      <c r="C329" s="7" t="inlineStr">
        <is>
          <t>穿透 +1</t>
        </is>
      </c>
      <c r="D329" s="6">
        <f>Config!I8+B329+IF(B329&gt;=3,1,0)</f>
        <v/>
      </c>
      <c r="E329" s="6" t="inlineStr">
        <is>
          <t>-</t>
        </is>
      </c>
      <c r="F329" s="6" t="inlineStr">
        <is>
          <t>-</t>
        </is>
      </c>
      <c r="G329" s="6" t="inlineStr"/>
    </row>
    <row r="330">
      <c r="A330" s="6" t="inlineStr">
        <is>
          <t>🗡️穿透弹</t>
        </is>
      </c>
      <c r="B330" s="6" t="n">
        <v>10</v>
      </c>
      <c r="C330" s="7" t="inlineStr">
        <is>
          <t>穿透 +1</t>
        </is>
      </c>
      <c r="D330" s="6">
        <f>Config!I8+B330+IF(B330&gt;=3,1,0)</f>
        <v/>
      </c>
      <c r="E330" s="6" t="inlineStr">
        <is>
          <t>-</t>
        </is>
      </c>
      <c r="F330" s="6" t="inlineStr">
        <is>
          <t>-</t>
        </is>
      </c>
      <c r="G330" s="6" t="inlineStr"/>
    </row>
    <row r="331">
      <c r="A331" s="6" t="inlineStr">
        <is>
          <t>🗡️穿透弹</t>
        </is>
      </c>
      <c r="B331" s="6" t="n">
        <v>11</v>
      </c>
      <c r="C331" s="7" t="inlineStr">
        <is>
          <t>穿透 +1</t>
        </is>
      </c>
      <c r="D331" s="6">
        <f>Config!I8+B331+IF(B331&gt;=3,1,0)</f>
        <v/>
      </c>
      <c r="E331" s="6" t="inlineStr">
        <is>
          <t>-</t>
        </is>
      </c>
      <c r="F331" s="6" t="inlineStr">
        <is>
          <t>-</t>
        </is>
      </c>
      <c r="G331" s="6" t="inlineStr"/>
    </row>
    <row r="332">
      <c r="A332" s="6" t="inlineStr">
        <is>
          <t>🗡️穿透弹</t>
        </is>
      </c>
      <c r="B332" s="6" t="n">
        <v>12</v>
      </c>
      <c r="C332" s="7" t="inlineStr">
        <is>
          <t>穿透 +1</t>
        </is>
      </c>
      <c r="D332" s="6">
        <f>Config!I8+B332+IF(B332&gt;=3,1,0)</f>
        <v/>
      </c>
      <c r="E332" s="6" t="inlineStr">
        <is>
          <t>-</t>
        </is>
      </c>
      <c r="F332" s="6" t="inlineStr">
        <is>
          <t>-</t>
        </is>
      </c>
      <c r="G332" s="6" t="inlineStr"/>
    </row>
    <row r="333">
      <c r="A333" s="6" t="inlineStr">
        <is>
          <t>🗡️穿透弹</t>
        </is>
      </c>
      <c r="B333" s="6" t="n">
        <v>13</v>
      </c>
      <c r="C333" s="7" t="inlineStr">
        <is>
          <t>穿透 +1</t>
        </is>
      </c>
      <c r="D333" s="6">
        <f>Config!I8+B333+IF(B333&gt;=3,1,0)</f>
        <v/>
      </c>
      <c r="E333" s="6" t="inlineStr">
        <is>
          <t>-</t>
        </is>
      </c>
      <c r="F333" s="6" t="inlineStr">
        <is>
          <t>-</t>
        </is>
      </c>
      <c r="G333" s="6" t="inlineStr"/>
    </row>
    <row r="334">
      <c r="A334" s="6" t="inlineStr">
        <is>
          <t>🗡️穿透弹</t>
        </is>
      </c>
      <c r="B334" s="6" t="n">
        <v>14</v>
      </c>
      <c r="C334" s="7" t="inlineStr">
        <is>
          <t>穿透 +1</t>
        </is>
      </c>
      <c r="D334" s="6">
        <f>Config!I8+B334+IF(B334&gt;=3,1,0)</f>
        <v/>
      </c>
      <c r="E334" s="6" t="inlineStr">
        <is>
          <t>-</t>
        </is>
      </c>
      <c r="F334" s="6" t="inlineStr">
        <is>
          <t>-</t>
        </is>
      </c>
      <c r="G334" s="6" t="inlineStr"/>
    </row>
    <row r="335">
      <c r="A335" s="6" t="inlineStr">
        <is>
          <t>🗡️穿透弹</t>
        </is>
      </c>
      <c r="B335" s="6" t="n">
        <v>15</v>
      </c>
      <c r="C335" s="7" t="inlineStr">
        <is>
          <t>穿透 +1</t>
        </is>
      </c>
      <c r="D335" s="6">
        <f>Config!I8+B335+IF(B335&gt;=3,1,0)</f>
        <v/>
      </c>
      <c r="E335" s="6" t="inlineStr">
        <is>
          <t>-</t>
        </is>
      </c>
      <c r="F335" s="6" t="inlineStr">
        <is>
          <t>-</t>
        </is>
      </c>
      <c r="G335" s="6" t="inlineStr"/>
    </row>
    <row r="336">
      <c r="A336" s="6" t="inlineStr">
        <is>
          <t>🗡️穿透弹</t>
        </is>
      </c>
      <c r="B336" s="6" t="n">
        <v>16</v>
      </c>
      <c r="C336" s="7" t="inlineStr">
        <is>
          <t>穿透 +1</t>
        </is>
      </c>
      <c r="D336" s="6">
        <f>Config!I8+B336+IF(B336&gt;=3,1,0)</f>
        <v/>
      </c>
      <c r="E336" s="6" t="inlineStr">
        <is>
          <t>-</t>
        </is>
      </c>
      <c r="F336" s="6" t="inlineStr">
        <is>
          <t>-</t>
        </is>
      </c>
      <c r="G336" s="6" t="inlineStr"/>
    </row>
    <row r="337">
      <c r="A337" s="6" t="inlineStr">
        <is>
          <t>🗡️穿透弹</t>
        </is>
      </c>
      <c r="B337" s="6" t="n">
        <v>17</v>
      </c>
      <c r="C337" s="7" t="inlineStr">
        <is>
          <t>穿透 +1</t>
        </is>
      </c>
      <c r="D337" s="6">
        <f>Config!I8+B337+IF(B337&gt;=3,1,0)</f>
        <v/>
      </c>
      <c r="E337" s="6" t="inlineStr">
        <is>
          <t>-</t>
        </is>
      </c>
      <c r="F337" s="6" t="inlineStr">
        <is>
          <t>-</t>
        </is>
      </c>
      <c r="G337" s="6" t="inlineStr"/>
    </row>
    <row r="338">
      <c r="A338" s="6" t="inlineStr">
        <is>
          <t>🗡️穿透弹</t>
        </is>
      </c>
      <c r="B338" s="6" t="n">
        <v>18</v>
      </c>
      <c r="C338" s="7" t="inlineStr">
        <is>
          <t>穿透 +1</t>
        </is>
      </c>
      <c r="D338" s="6">
        <f>Config!I8+B338+IF(B338&gt;=3,1,0)</f>
        <v/>
      </c>
      <c r="E338" s="6" t="inlineStr">
        <is>
          <t>-</t>
        </is>
      </c>
      <c r="F338" s="6" t="inlineStr">
        <is>
          <t>-</t>
        </is>
      </c>
      <c r="G338" s="6" t="inlineStr"/>
    </row>
    <row r="339">
      <c r="A339" s="6" t="inlineStr">
        <is>
          <t>🗡️穿透弹</t>
        </is>
      </c>
      <c r="B339" s="6" t="n">
        <v>19</v>
      </c>
      <c r="C339" s="7" t="inlineStr">
        <is>
          <t>穿透 +1</t>
        </is>
      </c>
      <c r="D339" s="6">
        <f>Config!I8+B339+IF(B339&gt;=3,1,0)</f>
        <v/>
      </c>
      <c r="E339" s="6" t="inlineStr">
        <is>
          <t>-</t>
        </is>
      </c>
      <c r="F339" s="6" t="inlineStr">
        <is>
          <t>-</t>
        </is>
      </c>
      <c r="G339" s="6" t="inlineStr"/>
    </row>
    <row r="340">
      <c r="A340" s="6" t="inlineStr">
        <is>
          <t>🗡️穿透弹</t>
        </is>
      </c>
      <c r="B340" s="6" t="n">
        <v>20</v>
      </c>
      <c r="C340" s="7" t="inlineStr">
        <is>
          <t>穿透 +1</t>
        </is>
      </c>
      <c r="D340" s="6">
        <f>Config!I8+B340+IF(B340&gt;=3,1,0)</f>
        <v/>
      </c>
      <c r="E340" s="6" t="inlineStr">
        <is>
          <t>-</t>
        </is>
      </c>
      <c r="F340" s="6" t="inlineStr">
        <is>
          <t>-</t>
        </is>
      </c>
      <c r="G340" s="6" t="inlineStr"/>
    </row>
    <row r="341">
      <c r="A341" s="6" t="inlineStr">
        <is>
          <t>🗡️穿透弹</t>
        </is>
      </c>
      <c r="B341" s="6" t="n">
        <v>21</v>
      </c>
      <c r="C341" s="7" t="inlineStr">
        <is>
          <t>穿透 +1</t>
        </is>
      </c>
      <c r="D341" s="6">
        <f>Config!I8+B341+IF(B341&gt;=3,1,0)</f>
        <v/>
      </c>
      <c r="E341" s="6" t="inlineStr">
        <is>
          <t>-</t>
        </is>
      </c>
      <c r="F341" s="6" t="inlineStr">
        <is>
          <t>-</t>
        </is>
      </c>
      <c r="G341" s="6" t="inlineStr"/>
    </row>
    <row r="342">
      <c r="A342" s="6" t="inlineStr">
        <is>
          <t>🗡️穿透弹</t>
        </is>
      </c>
      <c r="B342" s="6" t="n">
        <v>22</v>
      </c>
      <c r="C342" s="7" t="inlineStr">
        <is>
          <t>穿透 +1</t>
        </is>
      </c>
      <c r="D342" s="6">
        <f>Config!I8+B342+IF(B342&gt;=3,1,0)</f>
        <v/>
      </c>
      <c r="E342" s="6" t="inlineStr">
        <is>
          <t>-</t>
        </is>
      </c>
      <c r="F342" s="6" t="inlineStr">
        <is>
          <t>-</t>
        </is>
      </c>
      <c r="G342" s="6" t="inlineStr"/>
    </row>
    <row r="343">
      <c r="A343" s="6" t="inlineStr">
        <is>
          <t>🗡️穿透弹</t>
        </is>
      </c>
      <c r="B343" s="6" t="n">
        <v>23</v>
      </c>
      <c r="C343" s="7" t="inlineStr">
        <is>
          <t>穿透 +1</t>
        </is>
      </c>
      <c r="D343" s="6">
        <f>Config!I8+B343+IF(B343&gt;=3,1,0)</f>
        <v/>
      </c>
      <c r="E343" s="6" t="inlineStr">
        <is>
          <t>-</t>
        </is>
      </c>
      <c r="F343" s="6" t="inlineStr">
        <is>
          <t>-</t>
        </is>
      </c>
      <c r="G343" s="6" t="inlineStr"/>
    </row>
    <row r="344">
      <c r="A344" s="6" t="inlineStr">
        <is>
          <t>🗡️穿透弹</t>
        </is>
      </c>
      <c r="B344" s="6" t="n">
        <v>24</v>
      </c>
      <c r="C344" s="7" t="inlineStr">
        <is>
          <t>穿透 +1</t>
        </is>
      </c>
      <c r="D344" s="6">
        <f>Config!I8+B344+IF(B344&gt;=3,1,0)</f>
        <v/>
      </c>
      <c r="E344" s="6" t="inlineStr">
        <is>
          <t>-</t>
        </is>
      </c>
      <c r="F344" s="6" t="inlineStr">
        <is>
          <t>-</t>
        </is>
      </c>
      <c r="G344" s="6" t="inlineStr"/>
    </row>
    <row r="345">
      <c r="A345" s="6" t="inlineStr">
        <is>
          <t>🗡️穿透弹</t>
        </is>
      </c>
      <c r="B345" s="6" t="n">
        <v>25</v>
      </c>
      <c r="C345" s="7" t="inlineStr">
        <is>
          <t>穿透 +1</t>
        </is>
      </c>
      <c r="D345" s="6">
        <f>Config!I8+B345+IF(B345&gt;=3,1,0)</f>
        <v/>
      </c>
      <c r="E345" s="6" t="inlineStr">
        <is>
          <t>-</t>
        </is>
      </c>
      <c r="F345" s="6" t="inlineStr">
        <is>
          <t>-</t>
        </is>
      </c>
      <c r="G345" s="6" t="inlineStr"/>
    </row>
    <row r="346">
      <c r="A346" s="6" t="inlineStr">
        <is>
          <t>🗡️穿透弹</t>
        </is>
      </c>
      <c r="B346" s="6" t="n">
        <v>26</v>
      </c>
      <c r="C346" s="7" t="inlineStr">
        <is>
          <t>穿透 +1</t>
        </is>
      </c>
      <c r="D346" s="6">
        <f>Config!I8+B346+IF(B346&gt;=3,1,0)</f>
        <v/>
      </c>
      <c r="E346" s="6" t="inlineStr">
        <is>
          <t>-</t>
        </is>
      </c>
      <c r="F346" s="6" t="inlineStr">
        <is>
          <t>-</t>
        </is>
      </c>
      <c r="G346" s="6" t="inlineStr"/>
    </row>
    <row r="347">
      <c r="A347" s="6" t="inlineStr">
        <is>
          <t>🗡️穿透弹</t>
        </is>
      </c>
      <c r="B347" s="6" t="n">
        <v>27</v>
      </c>
      <c r="C347" s="7" t="inlineStr">
        <is>
          <t>穿透 +1</t>
        </is>
      </c>
      <c r="D347" s="6">
        <f>Config!I8+B347+IF(B347&gt;=3,1,0)</f>
        <v/>
      </c>
      <c r="E347" s="6" t="inlineStr">
        <is>
          <t>-</t>
        </is>
      </c>
      <c r="F347" s="6" t="inlineStr">
        <is>
          <t>-</t>
        </is>
      </c>
      <c r="G347" s="6" t="inlineStr"/>
    </row>
    <row r="348">
      <c r="A348" s="6" t="inlineStr">
        <is>
          <t>🗡️穿透弹</t>
        </is>
      </c>
      <c r="B348" s="6" t="n">
        <v>28</v>
      </c>
      <c r="C348" s="7" t="inlineStr">
        <is>
          <t>穿透 +1</t>
        </is>
      </c>
      <c r="D348" s="6">
        <f>Config!I8+B348+IF(B348&gt;=3,1,0)</f>
        <v/>
      </c>
      <c r="E348" s="6" t="inlineStr">
        <is>
          <t>-</t>
        </is>
      </c>
      <c r="F348" s="6" t="inlineStr">
        <is>
          <t>-</t>
        </is>
      </c>
      <c r="G348" s="6" t="inlineStr"/>
    </row>
    <row r="349">
      <c r="A349" s="6" t="inlineStr">
        <is>
          <t>🗡️穿透弹</t>
        </is>
      </c>
      <c r="B349" s="6" t="n">
        <v>29</v>
      </c>
      <c r="C349" s="7" t="inlineStr">
        <is>
          <t>穿透 +1</t>
        </is>
      </c>
      <c r="D349" s="6">
        <f>Config!I8+B349+IF(B349&gt;=3,1,0)</f>
        <v/>
      </c>
      <c r="E349" s="6" t="inlineStr">
        <is>
          <t>-</t>
        </is>
      </c>
      <c r="F349" s="6" t="inlineStr">
        <is>
          <t>-</t>
        </is>
      </c>
      <c r="G349" s="6" t="inlineStr"/>
    </row>
    <row r="350">
      <c r="A350" s="6" t="inlineStr">
        <is>
          <t>🗡️穿透弹</t>
        </is>
      </c>
      <c r="B350" s="6" t="n">
        <v>30</v>
      </c>
      <c r="C350" s="7" t="inlineStr">
        <is>
          <t>穿透 +1</t>
        </is>
      </c>
      <c r="D350" s="6">
        <f>Config!I8+B350+IF(B350&gt;=3,1,0)</f>
        <v/>
      </c>
      <c r="E350" s="6" t="inlineStr">
        <is>
          <t>-</t>
        </is>
      </c>
      <c r="F350" s="6" t="inlineStr">
        <is>
          <t>-</t>
        </is>
      </c>
      <c r="G350" s="6" t="inlineStr"/>
    </row>
    <row r="351">
      <c r="A351" s="6" t="inlineStr">
        <is>
          <t>❤️生命强化</t>
        </is>
      </c>
      <c r="B351" s="6" t="n">
        <v>1</v>
      </c>
      <c r="C351" s="7" t="inlineStr">
        <is>
          <t>最大生命 +20</t>
        </is>
      </c>
      <c r="D351" s="6">
        <f>Config!I9+20*B351+IF(B351&gt;=3,10*(B351-2),0)</f>
        <v/>
      </c>
      <c r="E351" s="6" t="inlineStr">
        <is>
          <t>-</t>
        </is>
      </c>
      <c r="F351" s="6" t="inlineStr">
        <is>
          <t>-</t>
        </is>
      </c>
      <c r="G351" s="6" t="inlineStr"/>
    </row>
    <row r="352">
      <c r="A352" s="6" t="inlineStr">
        <is>
          <t>❤️生命强化</t>
        </is>
      </c>
      <c r="B352" s="6" t="n">
        <v>2</v>
      </c>
      <c r="C352" s="7" t="inlineStr">
        <is>
          <t>最大生命 +20</t>
        </is>
      </c>
      <c r="D352" s="6">
        <f>Config!I9+20*B352+IF(B352&gt;=3,10*(B352-2),0)</f>
        <v/>
      </c>
      <c r="E352" s="6" t="inlineStr">
        <is>
          <t>-</t>
        </is>
      </c>
      <c r="F352" s="6" t="inlineStr">
        <is>
          <t>-</t>
        </is>
      </c>
      <c r="G352" s="6" t="inlineStr"/>
    </row>
    <row r="353">
      <c r="A353" s="8" t="inlineStr">
        <is>
          <t>❤️生命强化</t>
        </is>
      </c>
      <c r="B353" s="8" t="n">
        <v>3</v>
      </c>
      <c r="C353" s="9" t="inlineStr">
        <is>
          <t>每级额外生命 +10（Lv3 起每级共 +30）</t>
        </is>
      </c>
      <c r="D353" s="8">
        <f>Config!I9+20*B353+IF(B353&gt;=3,10*(B353-2),0)</f>
        <v/>
      </c>
      <c r="E353" s="8" t="inlineStr">
        <is>
          <t>-</t>
        </is>
      </c>
      <c r="F353" s="8" t="inlineStr">
        <is>
          <t>-</t>
        </is>
      </c>
      <c r="G353" s="8" t="inlineStr">
        <is>
          <t>★Lv3质变</t>
        </is>
      </c>
    </row>
    <row r="354">
      <c r="A354" s="6" t="inlineStr">
        <is>
          <t>❤️生命强化</t>
        </is>
      </c>
      <c r="B354" s="6" t="n">
        <v>4</v>
      </c>
      <c r="C354" s="7" t="inlineStr">
        <is>
          <t>最大生命 +20</t>
        </is>
      </c>
      <c r="D354" s="6">
        <f>Config!I9+20*B354+IF(B354&gt;=3,10*(B354-2),0)</f>
        <v/>
      </c>
      <c r="E354" s="6" t="inlineStr">
        <is>
          <t>-</t>
        </is>
      </c>
      <c r="F354" s="6" t="inlineStr">
        <is>
          <t>-</t>
        </is>
      </c>
      <c r="G354" s="6" t="inlineStr"/>
    </row>
    <row r="355">
      <c r="A355" s="6" t="inlineStr">
        <is>
          <t>❤️生命强化</t>
        </is>
      </c>
      <c r="B355" s="6" t="n">
        <v>5</v>
      </c>
      <c r="C355" s="7" t="inlineStr">
        <is>
          <t>最大生命 +20</t>
        </is>
      </c>
      <c r="D355" s="6">
        <f>Config!I9+20*B355+IF(B355&gt;=3,10*(B355-2),0)</f>
        <v/>
      </c>
      <c r="E355" s="6" t="inlineStr">
        <is>
          <t>-</t>
        </is>
      </c>
      <c r="F355" s="6" t="inlineStr">
        <is>
          <t>-</t>
        </is>
      </c>
      <c r="G355" s="6" t="inlineStr"/>
    </row>
    <row r="356">
      <c r="A356" s="6" t="inlineStr">
        <is>
          <t>❤️生命强化</t>
        </is>
      </c>
      <c r="B356" s="6" t="n">
        <v>6</v>
      </c>
      <c r="C356" s="7" t="inlineStr">
        <is>
          <t>最大生命 +20</t>
        </is>
      </c>
      <c r="D356" s="6">
        <f>Config!I9+20*B356+IF(B356&gt;=3,10*(B356-2),0)</f>
        <v/>
      </c>
      <c r="E356" s="6" t="inlineStr">
        <is>
          <t>-</t>
        </is>
      </c>
      <c r="F356" s="6" t="inlineStr">
        <is>
          <t>-</t>
        </is>
      </c>
      <c r="G356" s="6" t="inlineStr"/>
    </row>
    <row r="357">
      <c r="A357" s="6" t="inlineStr">
        <is>
          <t>❤️生命强化</t>
        </is>
      </c>
      <c r="B357" s="6" t="n">
        <v>7</v>
      </c>
      <c r="C357" s="7" t="inlineStr">
        <is>
          <t>最大生命 +20</t>
        </is>
      </c>
      <c r="D357" s="6">
        <f>Config!I9+20*B357+IF(B357&gt;=3,10*(B357-2),0)</f>
        <v/>
      </c>
      <c r="E357" s="6" t="inlineStr">
        <is>
          <t>-</t>
        </is>
      </c>
      <c r="F357" s="6" t="inlineStr">
        <is>
          <t>-</t>
        </is>
      </c>
      <c r="G357" s="6" t="inlineStr"/>
    </row>
    <row r="358">
      <c r="A358" s="6" t="inlineStr">
        <is>
          <t>❤️生命强化</t>
        </is>
      </c>
      <c r="B358" s="6" t="n">
        <v>8</v>
      </c>
      <c r="C358" s="7" t="inlineStr">
        <is>
          <t>最大生命 +20</t>
        </is>
      </c>
      <c r="D358" s="6">
        <f>Config!I9+20*B358+IF(B358&gt;=3,10*(B358-2),0)</f>
        <v/>
      </c>
      <c r="E358" s="6" t="inlineStr">
        <is>
          <t>-</t>
        </is>
      </c>
      <c r="F358" s="6" t="inlineStr">
        <is>
          <t>-</t>
        </is>
      </c>
      <c r="G358" s="6" t="inlineStr"/>
    </row>
    <row r="359">
      <c r="A359" s="6" t="inlineStr">
        <is>
          <t>❤️生命强化</t>
        </is>
      </c>
      <c r="B359" s="6" t="n">
        <v>9</v>
      </c>
      <c r="C359" s="7" t="inlineStr">
        <is>
          <t>最大生命 +20</t>
        </is>
      </c>
      <c r="D359" s="6">
        <f>Config!I9+20*B359+IF(B359&gt;=3,10*(B359-2),0)</f>
        <v/>
      </c>
      <c r="E359" s="6" t="inlineStr">
        <is>
          <t>-</t>
        </is>
      </c>
      <c r="F359" s="6" t="inlineStr">
        <is>
          <t>-</t>
        </is>
      </c>
      <c r="G359" s="6" t="inlineStr"/>
    </row>
    <row r="360">
      <c r="A360" s="6" t="inlineStr">
        <is>
          <t>❤️生命强化</t>
        </is>
      </c>
      <c r="B360" s="6" t="n">
        <v>10</v>
      </c>
      <c r="C360" s="7" t="inlineStr">
        <is>
          <t>最大生命 +20</t>
        </is>
      </c>
      <c r="D360" s="6">
        <f>Config!I9+20*B360+IF(B360&gt;=3,10*(B360-2),0)</f>
        <v/>
      </c>
      <c r="E360" s="6" t="inlineStr">
        <is>
          <t>-</t>
        </is>
      </c>
      <c r="F360" s="6" t="inlineStr">
        <is>
          <t>-</t>
        </is>
      </c>
      <c r="G360" s="6" t="inlineStr"/>
    </row>
    <row r="361">
      <c r="A361" s="6" t="inlineStr">
        <is>
          <t>❤️生命强化</t>
        </is>
      </c>
      <c r="B361" s="6" t="n">
        <v>11</v>
      </c>
      <c r="C361" s="7" t="inlineStr">
        <is>
          <t>最大生命 +20</t>
        </is>
      </c>
      <c r="D361" s="6">
        <f>Config!I9+20*B361+IF(B361&gt;=3,10*(B361-2),0)</f>
        <v/>
      </c>
      <c r="E361" s="6" t="inlineStr">
        <is>
          <t>-</t>
        </is>
      </c>
      <c r="F361" s="6" t="inlineStr">
        <is>
          <t>-</t>
        </is>
      </c>
      <c r="G361" s="6" t="inlineStr"/>
    </row>
    <row r="362">
      <c r="A362" s="6" t="inlineStr">
        <is>
          <t>❤️生命强化</t>
        </is>
      </c>
      <c r="B362" s="6" t="n">
        <v>12</v>
      </c>
      <c r="C362" s="7" t="inlineStr">
        <is>
          <t>最大生命 +20</t>
        </is>
      </c>
      <c r="D362" s="6">
        <f>Config!I9+20*B362+IF(B362&gt;=3,10*(B362-2),0)</f>
        <v/>
      </c>
      <c r="E362" s="6" t="inlineStr">
        <is>
          <t>-</t>
        </is>
      </c>
      <c r="F362" s="6" t="inlineStr">
        <is>
          <t>-</t>
        </is>
      </c>
      <c r="G362" s="6" t="inlineStr"/>
    </row>
    <row r="363">
      <c r="A363" s="6" t="inlineStr">
        <is>
          <t>❤️生命强化</t>
        </is>
      </c>
      <c r="B363" s="6" t="n">
        <v>13</v>
      </c>
      <c r="C363" s="7" t="inlineStr">
        <is>
          <t>最大生命 +20</t>
        </is>
      </c>
      <c r="D363" s="6">
        <f>Config!I9+20*B363+IF(B363&gt;=3,10*(B363-2),0)</f>
        <v/>
      </c>
      <c r="E363" s="6" t="inlineStr">
        <is>
          <t>-</t>
        </is>
      </c>
      <c r="F363" s="6" t="inlineStr">
        <is>
          <t>-</t>
        </is>
      </c>
      <c r="G363" s="6" t="inlineStr"/>
    </row>
    <row r="364">
      <c r="A364" s="6" t="inlineStr">
        <is>
          <t>❤️生命强化</t>
        </is>
      </c>
      <c r="B364" s="6" t="n">
        <v>14</v>
      </c>
      <c r="C364" s="7" t="inlineStr">
        <is>
          <t>最大生命 +20</t>
        </is>
      </c>
      <c r="D364" s="6">
        <f>Config!I9+20*B364+IF(B364&gt;=3,10*(B364-2),0)</f>
        <v/>
      </c>
      <c r="E364" s="6" t="inlineStr">
        <is>
          <t>-</t>
        </is>
      </c>
      <c r="F364" s="6" t="inlineStr">
        <is>
          <t>-</t>
        </is>
      </c>
      <c r="G364" s="6" t="inlineStr"/>
    </row>
    <row r="365">
      <c r="A365" s="6" t="inlineStr">
        <is>
          <t>❤️生命强化</t>
        </is>
      </c>
      <c r="B365" s="6" t="n">
        <v>15</v>
      </c>
      <c r="C365" s="7" t="inlineStr">
        <is>
          <t>最大生命 +20</t>
        </is>
      </c>
      <c r="D365" s="6">
        <f>Config!I9+20*B365+IF(B365&gt;=3,10*(B365-2),0)</f>
        <v/>
      </c>
      <c r="E365" s="6" t="inlineStr">
        <is>
          <t>-</t>
        </is>
      </c>
      <c r="F365" s="6" t="inlineStr">
        <is>
          <t>-</t>
        </is>
      </c>
      <c r="G365" s="6" t="inlineStr"/>
    </row>
    <row r="366">
      <c r="A366" s="6" t="inlineStr">
        <is>
          <t>❤️生命强化</t>
        </is>
      </c>
      <c r="B366" s="6" t="n">
        <v>16</v>
      </c>
      <c r="C366" s="7" t="inlineStr">
        <is>
          <t>最大生命 +20</t>
        </is>
      </c>
      <c r="D366" s="6">
        <f>Config!I9+20*B366+IF(B366&gt;=3,10*(B366-2),0)</f>
        <v/>
      </c>
      <c r="E366" s="6" t="inlineStr">
        <is>
          <t>-</t>
        </is>
      </c>
      <c r="F366" s="6" t="inlineStr">
        <is>
          <t>-</t>
        </is>
      </c>
      <c r="G366" s="6" t="inlineStr"/>
    </row>
    <row r="367">
      <c r="A367" s="6" t="inlineStr">
        <is>
          <t>❤️生命强化</t>
        </is>
      </c>
      <c r="B367" s="6" t="n">
        <v>17</v>
      </c>
      <c r="C367" s="7" t="inlineStr">
        <is>
          <t>最大生命 +20</t>
        </is>
      </c>
      <c r="D367" s="6">
        <f>Config!I9+20*B367+IF(B367&gt;=3,10*(B367-2),0)</f>
        <v/>
      </c>
      <c r="E367" s="6" t="inlineStr">
        <is>
          <t>-</t>
        </is>
      </c>
      <c r="F367" s="6" t="inlineStr">
        <is>
          <t>-</t>
        </is>
      </c>
      <c r="G367" s="6" t="inlineStr"/>
    </row>
    <row r="368">
      <c r="A368" s="6" t="inlineStr">
        <is>
          <t>❤️生命强化</t>
        </is>
      </c>
      <c r="B368" s="6" t="n">
        <v>18</v>
      </c>
      <c r="C368" s="7" t="inlineStr">
        <is>
          <t>最大生命 +20</t>
        </is>
      </c>
      <c r="D368" s="6">
        <f>Config!I9+20*B368+IF(B368&gt;=3,10*(B368-2),0)</f>
        <v/>
      </c>
      <c r="E368" s="6" t="inlineStr">
        <is>
          <t>-</t>
        </is>
      </c>
      <c r="F368" s="6" t="inlineStr">
        <is>
          <t>-</t>
        </is>
      </c>
      <c r="G368" s="6" t="inlineStr"/>
    </row>
    <row r="369">
      <c r="A369" s="6" t="inlineStr">
        <is>
          <t>❤️生命强化</t>
        </is>
      </c>
      <c r="B369" s="6" t="n">
        <v>19</v>
      </c>
      <c r="C369" s="7" t="inlineStr">
        <is>
          <t>最大生命 +20</t>
        </is>
      </c>
      <c r="D369" s="6">
        <f>Config!I9+20*B369+IF(B369&gt;=3,10*(B369-2),0)</f>
        <v/>
      </c>
      <c r="E369" s="6" t="inlineStr">
        <is>
          <t>-</t>
        </is>
      </c>
      <c r="F369" s="6" t="inlineStr">
        <is>
          <t>-</t>
        </is>
      </c>
      <c r="G369" s="6" t="inlineStr"/>
    </row>
    <row r="370">
      <c r="A370" s="6" t="inlineStr">
        <is>
          <t>❤️生命强化</t>
        </is>
      </c>
      <c r="B370" s="6" t="n">
        <v>20</v>
      </c>
      <c r="C370" s="7" t="inlineStr">
        <is>
          <t>最大生命 +20</t>
        </is>
      </c>
      <c r="D370" s="6">
        <f>Config!I9+20*B370+IF(B370&gt;=3,10*(B370-2),0)</f>
        <v/>
      </c>
      <c r="E370" s="6" t="inlineStr">
        <is>
          <t>-</t>
        </is>
      </c>
      <c r="F370" s="6" t="inlineStr">
        <is>
          <t>-</t>
        </is>
      </c>
      <c r="G370" s="6" t="inlineStr"/>
    </row>
    <row r="371">
      <c r="A371" s="6" t="inlineStr">
        <is>
          <t>❤️生命强化</t>
        </is>
      </c>
      <c r="B371" s="6" t="n">
        <v>21</v>
      </c>
      <c r="C371" s="7" t="inlineStr">
        <is>
          <t>最大生命 +20</t>
        </is>
      </c>
      <c r="D371" s="6">
        <f>Config!I9+20*B371+IF(B371&gt;=3,10*(B371-2),0)</f>
        <v/>
      </c>
      <c r="E371" s="6" t="inlineStr">
        <is>
          <t>-</t>
        </is>
      </c>
      <c r="F371" s="6" t="inlineStr">
        <is>
          <t>-</t>
        </is>
      </c>
      <c r="G371" s="6" t="inlineStr"/>
    </row>
    <row r="372">
      <c r="A372" s="6" t="inlineStr">
        <is>
          <t>❤️生命强化</t>
        </is>
      </c>
      <c r="B372" s="6" t="n">
        <v>22</v>
      </c>
      <c r="C372" s="7" t="inlineStr">
        <is>
          <t>最大生命 +20</t>
        </is>
      </c>
      <c r="D372" s="6">
        <f>Config!I9+20*B372+IF(B372&gt;=3,10*(B372-2),0)</f>
        <v/>
      </c>
      <c r="E372" s="6" t="inlineStr">
        <is>
          <t>-</t>
        </is>
      </c>
      <c r="F372" s="6" t="inlineStr">
        <is>
          <t>-</t>
        </is>
      </c>
      <c r="G372" s="6" t="inlineStr"/>
    </row>
    <row r="373">
      <c r="A373" s="6" t="inlineStr">
        <is>
          <t>❤️生命强化</t>
        </is>
      </c>
      <c r="B373" s="6" t="n">
        <v>23</v>
      </c>
      <c r="C373" s="7" t="inlineStr">
        <is>
          <t>最大生命 +20</t>
        </is>
      </c>
      <c r="D373" s="6">
        <f>Config!I9+20*B373+IF(B373&gt;=3,10*(B373-2),0)</f>
        <v/>
      </c>
      <c r="E373" s="6" t="inlineStr">
        <is>
          <t>-</t>
        </is>
      </c>
      <c r="F373" s="6" t="inlineStr">
        <is>
          <t>-</t>
        </is>
      </c>
      <c r="G373" s="6" t="inlineStr"/>
    </row>
    <row r="374">
      <c r="A374" s="6" t="inlineStr">
        <is>
          <t>❤️生命强化</t>
        </is>
      </c>
      <c r="B374" s="6" t="n">
        <v>24</v>
      </c>
      <c r="C374" s="7" t="inlineStr">
        <is>
          <t>最大生命 +20</t>
        </is>
      </c>
      <c r="D374" s="6">
        <f>Config!I9+20*B374+IF(B374&gt;=3,10*(B374-2),0)</f>
        <v/>
      </c>
      <c r="E374" s="6" t="inlineStr">
        <is>
          <t>-</t>
        </is>
      </c>
      <c r="F374" s="6" t="inlineStr">
        <is>
          <t>-</t>
        </is>
      </c>
      <c r="G374" s="6" t="inlineStr"/>
    </row>
    <row r="375">
      <c r="A375" s="6" t="inlineStr">
        <is>
          <t>❤️生命强化</t>
        </is>
      </c>
      <c r="B375" s="6" t="n">
        <v>25</v>
      </c>
      <c r="C375" s="7" t="inlineStr">
        <is>
          <t>最大生命 +20</t>
        </is>
      </c>
      <c r="D375" s="6">
        <f>Config!I9+20*B375+IF(B375&gt;=3,10*(B375-2),0)</f>
        <v/>
      </c>
      <c r="E375" s="6" t="inlineStr">
        <is>
          <t>-</t>
        </is>
      </c>
      <c r="F375" s="6" t="inlineStr">
        <is>
          <t>-</t>
        </is>
      </c>
      <c r="G375" s="6" t="inlineStr"/>
    </row>
    <row r="376">
      <c r="A376" s="6" t="inlineStr">
        <is>
          <t>❤️生命强化</t>
        </is>
      </c>
      <c r="B376" s="6" t="n">
        <v>26</v>
      </c>
      <c r="C376" s="7" t="inlineStr">
        <is>
          <t>最大生命 +20</t>
        </is>
      </c>
      <c r="D376" s="6">
        <f>Config!I9+20*B376+IF(B376&gt;=3,10*(B376-2),0)</f>
        <v/>
      </c>
      <c r="E376" s="6" t="inlineStr">
        <is>
          <t>-</t>
        </is>
      </c>
      <c r="F376" s="6" t="inlineStr">
        <is>
          <t>-</t>
        </is>
      </c>
      <c r="G376" s="6" t="inlineStr"/>
    </row>
    <row r="377">
      <c r="A377" s="6" t="inlineStr">
        <is>
          <t>❤️生命强化</t>
        </is>
      </c>
      <c r="B377" s="6" t="n">
        <v>27</v>
      </c>
      <c r="C377" s="7" t="inlineStr">
        <is>
          <t>最大生命 +20</t>
        </is>
      </c>
      <c r="D377" s="6">
        <f>Config!I9+20*B377+IF(B377&gt;=3,10*(B377-2),0)</f>
        <v/>
      </c>
      <c r="E377" s="6" t="inlineStr">
        <is>
          <t>-</t>
        </is>
      </c>
      <c r="F377" s="6" t="inlineStr">
        <is>
          <t>-</t>
        </is>
      </c>
      <c r="G377" s="6" t="inlineStr"/>
    </row>
    <row r="378">
      <c r="A378" s="6" t="inlineStr">
        <is>
          <t>❤️生命强化</t>
        </is>
      </c>
      <c r="B378" s="6" t="n">
        <v>28</v>
      </c>
      <c r="C378" s="7" t="inlineStr">
        <is>
          <t>最大生命 +20</t>
        </is>
      </c>
      <c r="D378" s="6">
        <f>Config!I9+20*B378+IF(B378&gt;=3,10*(B378-2),0)</f>
        <v/>
      </c>
      <c r="E378" s="6" t="inlineStr">
        <is>
          <t>-</t>
        </is>
      </c>
      <c r="F378" s="6" t="inlineStr">
        <is>
          <t>-</t>
        </is>
      </c>
      <c r="G378" s="6" t="inlineStr"/>
    </row>
    <row r="379">
      <c r="A379" s="6" t="inlineStr">
        <is>
          <t>❤️生命强化</t>
        </is>
      </c>
      <c r="B379" s="6" t="n">
        <v>29</v>
      </c>
      <c r="C379" s="7" t="inlineStr">
        <is>
          <t>最大生命 +20</t>
        </is>
      </c>
      <c r="D379" s="6">
        <f>Config!I9+20*B379+IF(B379&gt;=3,10*(B379-2),0)</f>
        <v/>
      </c>
      <c r="E379" s="6" t="inlineStr">
        <is>
          <t>-</t>
        </is>
      </c>
      <c r="F379" s="6" t="inlineStr">
        <is>
          <t>-</t>
        </is>
      </c>
      <c r="G379" s="6" t="inlineStr"/>
    </row>
    <row r="380">
      <c r="A380" s="6" t="inlineStr">
        <is>
          <t>❤️生命强化</t>
        </is>
      </c>
      <c r="B380" s="6" t="n">
        <v>30</v>
      </c>
      <c r="C380" s="7" t="inlineStr">
        <is>
          <t>最大生命 +20</t>
        </is>
      </c>
      <c r="D380" s="6">
        <f>Config!I9+20*B380+IF(B380&gt;=3,10*(B380-2),0)</f>
        <v/>
      </c>
      <c r="E380" s="6" t="inlineStr">
        <is>
          <t>-</t>
        </is>
      </c>
      <c r="F380" s="6" t="inlineStr">
        <is>
          <t>-</t>
        </is>
      </c>
      <c r="G380" s="6" t="inlineStr"/>
    </row>
    <row r="381">
      <c r="A381" s="6" t="inlineStr">
        <is>
          <t>❤️生命强化</t>
        </is>
      </c>
      <c r="B381" s="6" t="n">
        <v>31</v>
      </c>
      <c r="C381" s="7" t="inlineStr">
        <is>
          <t>最大生命 +20</t>
        </is>
      </c>
      <c r="D381" s="6">
        <f>Config!I9+20*B381+IF(B381&gt;=3,10*(B381-2),0)</f>
        <v/>
      </c>
      <c r="E381" s="6" t="inlineStr">
        <is>
          <t>-</t>
        </is>
      </c>
      <c r="F381" s="6" t="inlineStr">
        <is>
          <t>-</t>
        </is>
      </c>
      <c r="G381" s="6" t="inlineStr"/>
    </row>
    <row r="382">
      <c r="A382" s="6" t="inlineStr">
        <is>
          <t>❤️生命强化</t>
        </is>
      </c>
      <c r="B382" s="6" t="n">
        <v>32</v>
      </c>
      <c r="C382" s="7" t="inlineStr">
        <is>
          <t>最大生命 +20</t>
        </is>
      </c>
      <c r="D382" s="6">
        <f>Config!I9+20*B382+IF(B382&gt;=3,10*(B382-2),0)</f>
        <v/>
      </c>
      <c r="E382" s="6" t="inlineStr">
        <is>
          <t>-</t>
        </is>
      </c>
      <c r="F382" s="6" t="inlineStr">
        <is>
          <t>-</t>
        </is>
      </c>
      <c r="G382" s="6" t="inlineStr"/>
    </row>
    <row r="383">
      <c r="A383" s="6" t="inlineStr">
        <is>
          <t>❤️生命强化</t>
        </is>
      </c>
      <c r="B383" s="6" t="n">
        <v>33</v>
      </c>
      <c r="C383" s="7" t="inlineStr">
        <is>
          <t>最大生命 +20</t>
        </is>
      </c>
      <c r="D383" s="6">
        <f>Config!I9+20*B383+IF(B383&gt;=3,10*(B383-2),0)</f>
        <v/>
      </c>
      <c r="E383" s="6" t="inlineStr">
        <is>
          <t>-</t>
        </is>
      </c>
      <c r="F383" s="6" t="inlineStr">
        <is>
          <t>-</t>
        </is>
      </c>
      <c r="G383" s="6" t="inlineStr"/>
    </row>
    <row r="384">
      <c r="A384" s="6" t="inlineStr">
        <is>
          <t>❤️生命强化</t>
        </is>
      </c>
      <c r="B384" s="6" t="n">
        <v>34</v>
      </c>
      <c r="C384" s="7" t="inlineStr">
        <is>
          <t>最大生命 +20</t>
        </is>
      </c>
      <c r="D384" s="6">
        <f>Config!I9+20*B384+IF(B384&gt;=3,10*(B384-2),0)</f>
        <v/>
      </c>
      <c r="E384" s="6" t="inlineStr">
        <is>
          <t>-</t>
        </is>
      </c>
      <c r="F384" s="6" t="inlineStr">
        <is>
          <t>-</t>
        </is>
      </c>
      <c r="G384" s="6" t="inlineStr"/>
    </row>
    <row r="385">
      <c r="A385" s="6" t="inlineStr">
        <is>
          <t>❤️生命强化</t>
        </is>
      </c>
      <c r="B385" s="6" t="n">
        <v>35</v>
      </c>
      <c r="C385" s="7" t="inlineStr">
        <is>
          <t>最大生命 +20</t>
        </is>
      </c>
      <c r="D385" s="6">
        <f>Config!I9+20*B385+IF(B385&gt;=3,10*(B385-2),0)</f>
        <v/>
      </c>
      <c r="E385" s="6" t="inlineStr">
        <is>
          <t>-</t>
        </is>
      </c>
      <c r="F385" s="6" t="inlineStr">
        <is>
          <t>-</t>
        </is>
      </c>
      <c r="G385" s="6" t="inlineStr"/>
    </row>
    <row r="386">
      <c r="A386" s="6" t="inlineStr">
        <is>
          <t>❤️生命强化</t>
        </is>
      </c>
      <c r="B386" s="6" t="n">
        <v>36</v>
      </c>
      <c r="C386" s="7" t="inlineStr">
        <is>
          <t>最大生命 +20</t>
        </is>
      </c>
      <c r="D386" s="6">
        <f>Config!I9+20*B386+IF(B386&gt;=3,10*(B386-2),0)</f>
        <v/>
      </c>
      <c r="E386" s="6" t="inlineStr">
        <is>
          <t>-</t>
        </is>
      </c>
      <c r="F386" s="6" t="inlineStr">
        <is>
          <t>-</t>
        </is>
      </c>
      <c r="G386" s="6" t="inlineStr"/>
    </row>
    <row r="387">
      <c r="A387" s="6" t="inlineStr">
        <is>
          <t>❤️生命强化</t>
        </is>
      </c>
      <c r="B387" s="6" t="n">
        <v>37</v>
      </c>
      <c r="C387" s="7" t="inlineStr">
        <is>
          <t>最大生命 +20</t>
        </is>
      </c>
      <c r="D387" s="6">
        <f>Config!I9+20*B387+IF(B387&gt;=3,10*(B387-2),0)</f>
        <v/>
      </c>
      <c r="E387" s="6" t="inlineStr">
        <is>
          <t>-</t>
        </is>
      </c>
      <c r="F387" s="6" t="inlineStr">
        <is>
          <t>-</t>
        </is>
      </c>
      <c r="G387" s="6" t="inlineStr"/>
    </row>
    <row r="388">
      <c r="A388" s="6" t="inlineStr">
        <is>
          <t>❤️生命强化</t>
        </is>
      </c>
      <c r="B388" s="6" t="n">
        <v>38</v>
      </c>
      <c r="C388" s="7" t="inlineStr">
        <is>
          <t>最大生命 +20</t>
        </is>
      </c>
      <c r="D388" s="6">
        <f>Config!I9+20*B388+IF(B388&gt;=3,10*(B388-2),0)</f>
        <v/>
      </c>
      <c r="E388" s="6" t="inlineStr">
        <is>
          <t>-</t>
        </is>
      </c>
      <c r="F388" s="6" t="inlineStr">
        <is>
          <t>-</t>
        </is>
      </c>
      <c r="G388" s="6" t="inlineStr"/>
    </row>
    <row r="389">
      <c r="A389" s="6" t="inlineStr">
        <is>
          <t>❤️生命强化</t>
        </is>
      </c>
      <c r="B389" s="6" t="n">
        <v>39</v>
      </c>
      <c r="C389" s="7" t="inlineStr">
        <is>
          <t>最大生命 +20</t>
        </is>
      </c>
      <c r="D389" s="6">
        <f>Config!I9+20*B389+IF(B389&gt;=3,10*(B389-2),0)</f>
        <v/>
      </c>
      <c r="E389" s="6" t="inlineStr">
        <is>
          <t>-</t>
        </is>
      </c>
      <c r="F389" s="6" t="inlineStr">
        <is>
          <t>-</t>
        </is>
      </c>
      <c r="G389" s="6" t="inlineStr"/>
    </row>
    <row r="390">
      <c r="A390" s="6" t="inlineStr">
        <is>
          <t>❤️生命强化</t>
        </is>
      </c>
      <c r="B390" s="6" t="n">
        <v>40</v>
      </c>
      <c r="C390" s="7" t="inlineStr">
        <is>
          <t>最大生命 +20</t>
        </is>
      </c>
      <c r="D390" s="6">
        <f>Config!I9+20*B390+IF(B390&gt;=3,10*(B390-2),0)</f>
        <v/>
      </c>
      <c r="E390" s="6" t="inlineStr">
        <is>
          <t>-</t>
        </is>
      </c>
      <c r="F390" s="6" t="inlineStr">
        <is>
          <t>-</t>
        </is>
      </c>
      <c r="G390" s="6" t="inlineStr"/>
    </row>
    <row r="391">
      <c r="A391" s="6" t="inlineStr">
        <is>
          <t>❤️生命强化</t>
        </is>
      </c>
      <c r="B391" s="6" t="n">
        <v>41</v>
      </c>
      <c r="C391" s="7" t="inlineStr">
        <is>
          <t>最大生命 +20</t>
        </is>
      </c>
      <c r="D391" s="6">
        <f>Config!I9+20*B391+IF(B391&gt;=3,10*(B391-2),0)</f>
        <v/>
      </c>
      <c r="E391" s="6" t="inlineStr">
        <is>
          <t>-</t>
        </is>
      </c>
      <c r="F391" s="6" t="inlineStr">
        <is>
          <t>-</t>
        </is>
      </c>
      <c r="G391" s="6" t="inlineStr"/>
    </row>
    <row r="392">
      <c r="A392" s="6" t="inlineStr">
        <is>
          <t>❤️生命强化</t>
        </is>
      </c>
      <c r="B392" s="6" t="n">
        <v>42</v>
      </c>
      <c r="C392" s="7" t="inlineStr">
        <is>
          <t>最大生命 +20</t>
        </is>
      </c>
      <c r="D392" s="6">
        <f>Config!I9+20*B392+IF(B392&gt;=3,10*(B392-2),0)</f>
        <v/>
      </c>
      <c r="E392" s="6" t="inlineStr">
        <is>
          <t>-</t>
        </is>
      </c>
      <c r="F392" s="6" t="inlineStr">
        <is>
          <t>-</t>
        </is>
      </c>
      <c r="G392" s="6" t="inlineStr"/>
    </row>
    <row r="393">
      <c r="A393" s="6" t="inlineStr">
        <is>
          <t>❤️生命强化</t>
        </is>
      </c>
      <c r="B393" s="6" t="n">
        <v>43</v>
      </c>
      <c r="C393" s="7" t="inlineStr">
        <is>
          <t>最大生命 +20</t>
        </is>
      </c>
      <c r="D393" s="6">
        <f>Config!I9+20*B393+IF(B393&gt;=3,10*(B393-2),0)</f>
        <v/>
      </c>
      <c r="E393" s="6" t="inlineStr">
        <is>
          <t>-</t>
        </is>
      </c>
      <c r="F393" s="6" t="inlineStr">
        <is>
          <t>-</t>
        </is>
      </c>
      <c r="G393" s="6" t="inlineStr"/>
    </row>
    <row r="394">
      <c r="A394" s="6" t="inlineStr">
        <is>
          <t>❤️生命强化</t>
        </is>
      </c>
      <c r="B394" s="6" t="n">
        <v>44</v>
      </c>
      <c r="C394" s="7" t="inlineStr">
        <is>
          <t>最大生命 +20</t>
        </is>
      </c>
      <c r="D394" s="6">
        <f>Config!I9+20*B394+IF(B394&gt;=3,10*(B394-2),0)</f>
        <v/>
      </c>
      <c r="E394" s="6" t="inlineStr">
        <is>
          <t>-</t>
        </is>
      </c>
      <c r="F394" s="6" t="inlineStr">
        <is>
          <t>-</t>
        </is>
      </c>
      <c r="G394" s="6" t="inlineStr"/>
    </row>
    <row r="395">
      <c r="A395" s="6" t="inlineStr">
        <is>
          <t>❤️生命强化</t>
        </is>
      </c>
      <c r="B395" s="6" t="n">
        <v>45</v>
      </c>
      <c r="C395" s="7" t="inlineStr">
        <is>
          <t>最大生命 +20</t>
        </is>
      </c>
      <c r="D395" s="6">
        <f>Config!I9+20*B395+IF(B395&gt;=3,10*(B395-2),0)</f>
        <v/>
      </c>
      <c r="E395" s="6" t="inlineStr">
        <is>
          <t>-</t>
        </is>
      </c>
      <c r="F395" s="6" t="inlineStr">
        <is>
          <t>-</t>
        </is>
      </c>
      <c r="G395" s="6" t="inlineStr"/>
    </row>
    <row r="396">
      <c r="A396" s="6" t="inlineStr">
        <is>
          <t>❤️生命强化</t>
        </is>
      </c>
      <c r="B396" s="6" t="n">
        <v>46</v>
      </c>
      <c r="C396" s="7" t="inlineStr">
        <is>
          <t>最大生命 +20</t>
        </is>
      </c>
      <c r="D396" s="6">
        <f>Config!I9+20*B396+IF(B396&gt;=3,10*(B396-2),0)</f>
        <v/>
      </c>
      <c r="E396" s="6" t="inlineStr">
        <is>
          <t>-</t>
        </is>
      </c>
      <c r="F396" s="6" t="inlineStr">
        <is>
          <t>-</t>
        </is>
      </c>
      <c r="G396" s="6" t="inlineStr"/>
    </row>
    <row r="397">
      <c r="A397" s="6" t="inlineStr">
        <is>
          <t>❤️生命强化</t>
        </is>
      </c>
      <c r="B397" s="6" t="n">
        <v>47</v>
      </c>
      <c r="C397" s="7" t="inlineStr">
        <is>
          <t>最大生命 +20</t>
        </is>
      </c>
      <c r="D397" s="6">
        <f>Config!I9+20*B397+IF(B397&gt;=3,10*(B397-2),0)</f>
        <v/>
      </c>
      <c r="E397" s="6" t="inlineStr">
        <is>
          <t>-</t>
        </is>
      </c>
      <c r="F397" s="6" t="inlineStr">
        <is>
          <t>-</t>
        </is>
      </c>
      <c r="G397" s="6" t="inlineStr"/>
    </row>
    <row r="398">
      <c r="A398" s="6" t="inlineStr">
        <is>
          <t>❤️生命强化</t>
        </is>
      </c>
      <c r="B398" s="6" t="n">
        <v>48</v>
      </c>
      <c r="C398" s="7" t="inlineStr">
        <is>
          <t>最大生命 +20</t>
        </is>
      </c>
      <c r="D398" s="6">
        <f>Config!I9+20*B398+IF(B398&gt;=3,10*(B398-2),0)</f>
        <v/>
      </c>
      <c r="E398" s="6" t="inlineStr">
        <is>
          <t>-</t>
        </is>
      </c>
      <c r="F398" s="6" t="inlineStr">
        <is>
          <t>-</t>
        </is>
      </c>
      <c r="G398" s="6" t="inlineStr"/>
    </row>
    <row r="399">
      <c r="A399" s="6" t="inlineStr">
        <is>
          <t>❤️生命强化</t>
        </is>
      </c>
      <c r="B399" s="6" t="n">
        <v>49</v>
      </c>
      <c r="C399" s="7" t="inlineStr">
        <is>
          <t>最大生命 +20</t>
        </is>
      </c>
      <c r="D399" s="6">
        <f>Config!I9+20*B399+IF(B399&gt;=3,10*(B399-2),0)</f>
        <v/>
      </c>
      <c r="E399" s="6" t="inlineStr">
        <is>
          <t>-</t>
        </is>
      </c>
      <c r="F399" s="6" t="inlineStr">
        <is>
          <t>-</t>
        </is>
      </c>
      <c r="G399" s="6" t="inlineStr"/>
    </row>
    <row r="400">
      <c r="A400" s="6" t="inlineStr">
        <is>
          <t>❤️生命强化</t>
        </is>
      </c>
      <c r="B400" s="6" t="n">
        <v>50</v>
      </c>
      <c r="C400" s="7" t="inlineStr">
        <is>
          <t>最大生命 +20</t>
        </is>
      </c>
      <c r="D400" s="6">
        <f>Config!I9+20*B400+IF(B400&gt;=3,10*(B400-2),0)</f>
        <v/>
      </c>
      <c r="E400" s="6" t="inlineStr">
        <is>
          <t>-</t>
        </is>
      </c>
      <c r="F400" s="6" t="inlineStr">
        <is>
          <t>-</t>
        </is>
      </c>
      <c r="G400" s="6" t="inlineStr"/>
    </row>
    <row r="401">
      <c r="A401" s="6" t="inlineStr">
        <is>
          <t>❤️生命强化</t>
        </is>
      </c>
      <c r="B401" s="6" t="n">
        <v>51</v>
      </c>
      <c r="C401" s="7" t="inlineStr">
        <is>
          <t>最大生命 +20</t>
        </is>
      </c>
      <c r="D401" s="6">
        <f>Config!I9+20*B401+IF(B401&gt;=3,10*(B401-2),0)</f>
        <v/>
      </c>
      <c r="E401" s="6" t="inlineStr">
        <is>
          <t>-</t>
        </is>
      </c>
      <c r="F401" s="6" t="inlineStr">
        <is>
          <t>-</t>
        </is>
      </c>
      <c r="G401" s="6" t="inlineStr"/>
    </row>
    <row r="402">
      <c r="A402" s="6" t="inlineStr">
        <is>
          <t>❤️生命强化</t>
        </is>
      </c>
      <c r="B402" s="6" t="n">
        <v>52</v>
      </c>
      <c r="C402" s="7" t="inlineStr">
        <is>
          <t>最大生命 +20</t>
        </is>
      </c>
      <c r="D402" s="6">
        <f>Config!I9+20*B402+IF(B402&gt;=3,10*(B402-2),0)</f>
        <v/>
      </c>
      <c r="E402" s="6" t="inlineStr">
        <is>
          <t>-</t>
        </is>
      </c>
      <c r="F402" s="6" t="inlineStr">
        <is>
          <t>-</t>
        </is>
      </c>
      <c r="G402" s="6" t="inlineStr"/>
    </row>
    <row r="403">
      <c r="A403" s="6" t="inlineStr">
        <is>
          <t>❤️生命强化</t>
        </is>
      </c>
      <c r="B403" s="6" t="n">
        <v>53</v>
      </c>
      <c r="C403" s="7" t="inlineStr">
        <is>
          <t>最大生命 +20</t>
        </is>
      </c>
      <c r="D403" s="6">
        <f>Config!I9+20*B403+IF(B403&gt;=3,10*(B403-2),0)</f>
        <v/>
      </c>
      <c r="E403" s="6" t="inlineStr">
        <is>
          <t>-</t>
        </is>
      </c>
      <c r="F403" s="6" t="inlineStr">
        <is>
          <t>-</t>
        </is>
      </c>
      <c r="G403" s="6" t="inlineStr"/>
    </row>
    <row r="404">
      <c r="A404" s="6" t="inlineStr">
        <is>
          <t>❤️生命强化</t>
        </is>
      </c>
      <c r="B404" s="6" t="n">
        <v>54</v>
      </c>
      <c r="C404" s="7" t="inlineStr">
        <is>
          <t>最大生命 +20</t>
        </is>
      </c>
      <c r="D404" s="6">
        <f>Config!I9+20*B404+IF(B404&gt;=3,10*(B404-2),0)</f>
        <v/>
      </c>
      <c r="E404" s="6" t="inlineStr">
        <is>
          <t>-</t>
        </is>
      </c>
      <c r="F404" s="6" t="inlineStr">
        <is>
          <t>-</t>
        </is>
      </c>
      <c r="G404" s="6" t="inlineStr"/>
    </row>
    <row r="405">
      <c r="A405" s="6" t="inlineStr">
        <is>
          <t>❤️生命强化</t>
        </is>
      </c>
      <c r="B405" s="6" t="n">
        <v>55</v>
      </c>
      <c r="C405" s="7" t="inlineStr">
        <is>
          <t>最大生命 +20</t>
        </is>
      </c>
      <c r="D405" s="6">
        <f>Config!I9+20*B405+IF(B405&gt;=3,10*(B405-2),0)</f>
        <v/>
      </c>
      <c r="E405" s="6" t="inlineStr">
        <is>
          <t>-</t>
        </is>
      </c>
      <c r="F405" s="6" t="inlineStr">
        <is>
          <t>-</t>
        </is>
      </c>
      <c r="G405" s="6" t="inlineStr"/>
    </row>
    <row r="406">
      <c r="A406" s="6" t="inlineStr">
        <is>
          <t>❤️生命强化</t>
        </is>
      </c>
      <c r="B406" s="6" t="n">
        <v>56</v>
      </c>
      <c r="C406" s="7" t="inlineStr">
        <is>
          <t>最大生命 +20</t>
        </is>
      </c>
      <c r="D406" s="6">
        <f>Config!I9+20*B406+IF(B406&gt;=3,10*(B406-2),0)</f>
        <v/>
      </c>
      <c r="E406" s="6" t="inlineStr">
        <is>
          <t>-</t>
        </is>
      </c>
      <c r="F406" s="6" t="inlineStr">
        <is>
          <t>-</t>
        </is>
      </c>
      <c r="G406" s="6" t="inlineStr"/>
    </row>
    <row r="407">
      <c r="A407" s="6" t="inlineStr">
        <is>
          <t>❤️生命强化</t>
        </is>
      </c>
      <c r="B407" s="6" t="n">
        <v>57</v>
      </c>
      <c r="C407" s="7" t="inlineStr">
        <is>
          <t>最大生命 +20</t>
        </is>
      </c>
      <c r="D407" s="6">
        <f>Config!I9+20*B407+IF(B407&gt;=3,10*(B407-2),0)</f>
        <v/>
      </c>
      <c r="E407" s="6" t="inlineStr">
        <is>
          <t>-</t>
        </is>
      </c>
      <c r="F407" s="6" t="inlineStr">
        <is>
          <t>-</t>
        </is>
      </c>
      <c r="G407" s="6" t="inlineStr"/>
    </row>
    <row r="408">
      <c r="A408" s="6" t="inlineStr">
        <is>
          <t>❤️生命强化</t>
        </is>
      </c>
      <c r="B408" s="6" t="n">
        <v>58</v>
      </c>
      <c r="C408" s="7" t="inlineStr">
        <is>
          <t>最大生命 +20</t>
        </is>
      </c>
      <c r="D408" s="6">
        <f>Config!I9+20*B408+IF(B408&gt;=3,10*(B408-2),0)</f>
        <v/>
      </c>
      <c r="E408" s="6" t="inlineStr">
        <is>
          <t>-</t>
        </is>
      </c>
      <c r="F408" s="6" t="inlineStr">
        <is>
          <t>-</t>
        </is>
      </c>
      <c r="G408" s="6" t="inlineStr"/>
    </row>
    <row r="409">
      <c r="A409" s="6" t="inlineStr">
        <is>
          <t>❤️生命强化</t>
        </is>
      </c>
      <c r="B409" s="6" t="n">
        <v>59</v>
      </c>
      <c r="C409" s="7" t="inlineStr">
        <is>
          <t>最大生命 +20</t>
        </is>
      </c>
      <c r="D409" s="6">
        <f>Config!I9+20*B409+IF(B409&gt;=3,10*(B409-2),0)</f>
        <v/>
      </c>
      <c r="E409" s="6" t="inlineStr">
        <is>
          <t>-</t>
        </is>
      </c>
      <c r="F409" s="6" t="inlineStr">
        <is>
          <t>-</t>
        </is>
      </c>
      <c r="G409" s="6" t="inlineStr"/>
    </row>
    <row r="410">
      <c r="A410" s="6" t="inlineStr">
        <is>
          <t>❤️生命强化</t>
        </is>
      </c>
      <c r="B410" s="6" t="n">
        <v>60</v>
      </c>
      <c r="C410" s="7" t="inlineStr">
        <is>
          <t>最大生命 +20</t>
        </is>
      </c>
      <c r="D410" s="6">
        <f>Config!I9+20*B410+IF(B410&gt;=3,10*(B410-2),0)</f>
        <v/>
      </c>
      <c r="E410" s="6" t="inlineStr">
        <is>
          <t>-</t>
        </is>
      </c>
      <c r="F410" s="6" t="inlineStr">
        <is>
          <t>-</t>
        </is>
      </c>
      <c r="G410" s="6" t="inlineStr"/>
    </row>
    <row r="411">
      <c r="A411" s="6" t="inlineStr">
        <is>
          <t>❤️生命强化</t>
        </is>
      </c>
      <c r="B411" s="6" t="n">
        <v>61</v>
      </c>
      <c r="C411" s="7" t="inlineStr">
        <is>
          <t>最大生命 +20</t>
        </is>
      </c>
      <c r="D411" s="6">
        <f>Config!I9+20*B411+IF(B411&gt;=3,10*(B411-2),0)</f>
        <v/>
      </c>
      <c r="E411" s="6" t="inlineStr">
        <is>
          <t>-</t>
        </is>
      </c>
      <c r="F411" s="6" t="inlineStr">
        <is>
          <t>-</t>
        </is>
      </c>
      <c r="G411" s="6" t="inlineStr"/>
    </row>
    <row r="412">
      <c r="A412" s="6" t="inlineStr">
        <is>
          <t>❤️生命强化</t>
        </is>
      </c>
      <c r="B412" s="6" t="n">
        <v>62</v>
      </c>
      <c r="C412" s="7" t="inlineStr">
        <is>
          <t>最大生命 +20</t>
        </is>
      </c>
      <c r="D412" s="6">
        <f>Config!I9+20*B412+IF(B412&gt;=3,10*(B412-2),0)</f>
        <v/>
      </c>
      <c r="E412" s="6" t="inlineStr">
        <is>
          <t>-</t>
        </is>
      </c>
      <c r="F412" s="6" t="inlineStr">
        <is>
          <t>-</t>
        </is>
      </c>
      <c r="G412" s="6" t="inlineStr"/>
    </row>
    <row r="413">
      <c r="A413" s="6" t="inlineStr">
        <is>
          <t>❤️生命强化</t>
        </is>
      </c>
      <c r="B413" s="6" t="n">
        <v>63</v>
      </c>
      <c r="C413" s="7" t="inlineStr">
        <is>
          <t>最大生命 +20</t>
        </is>
      </c>
      <c r="D413" s="6">
        <f>Config!I9+20*B413+IF(B413&gt;=3,10*(B413-2),0)</f>
        <v/>
      </c>
      <c r="E413" s="6" t="inlineStr">
        <is>
          <t>-</t>
        </is>
      </c>
      <c r="F413" s="6" t="inlineStr">
        <is>
          <t>-</t>
        </is>
      </c>
      <c r="G413" s="6" t="inlineStr"/>
    </row>
    <row r="414">
      <c r="A414" s="6" t="inlineStr">
        <is>
          <t>❤️生命强化</t>
        </is>
      </c>
      <c r="B414" s="6" t="n">
        <v>64</v>
      </c>
      <c r="C414" s="7" t="inlineStr">
        <is>
          <t>最大生命 +20</t>
        </is>
      </c>
      <c r="D414" s="6">
        <f>Config!I9+20*B414+IF(B414&gt;=3,10*(B414-2),0)</f>
        <v/>
      </c>
      <c r="E414" s="6" t="inlineStr">
        <is>
          <t>-</t>
        </is>
      </c>
      <c r="F414" s="6" t="inlineStr">
        <is>
          <t>-</t>
        </is>
      </c>
      <c r="G414" s="6" t="inlineStr"/>
    </row>
    <row r="415">
      <c r="A415" s="6" t="inlineStr">
        <is>
          <t>❤️生命强化</t>
        </is>
      </c>
      <c r="B415" s="6" t="n">
        <v>65</v>
      </c>
      <c r="C415" s="7" t="inlineStr">
        <is>
          <t>最大生命 +20</t>
        </is>
      </c>
      <c r="D415" s="6">
        <f>Config!I9+20*B415+IF(B415&gt;=3,10*(B415-2),0)</f>
        <v/>
      </c>
      <c r="E415" s="6" t="inlineStr">
        <is>
          <t>-</t>
        </is>
      </c>
      <c r="F415" s="6" t="inlineStr">
        <is>
          <t>-</t>
        </is>
      </c>
      <c r="G415" s="6" t="inlineStr"/>
    </row>
    <row r="416">
      <c r="A416" s="6" t="inlineStr">
        <is>
          <t>❤️生命强化</t>
        </is>
      </c>
      <c r="B416" s="6" t="n">
        <v>66</v>
      </c>
      <c r="C416" s="7" t="inlineStr">
        <is>
          <t>最大生命 +20</t>
        </is>
      </c>
      <c r="D416" s="6">
        <f>Config!I9+20*B416+IF(B416&gt;=3,10*(B416-2),0)</f>
        <v/>
      </c>
      <c r="E416" s="6" t="inlineStr">
        <is>
          <t>-</t>
        </is>
      </c>
      <c r="F416" s="6" t="inlineStr">
        <is>
          <t>-</t>
        </is>
      </c>
      <c r="G416" s="6" t="inlineStr"/>
    </row>
    <row r="417">
      <c r="A417" s="6" t="inlineStr">
        <is>
          <t>❤️生命强化</t>
        </is>
      </c>
      <c r="B417" s="6" t="n">
        <v>67</v>
      </c>
      <c r="C417" s="7" t="inlineStr">
        <is>
          <t>最大生命 +20</t>
        </is>
      </c>
      <c r="D417" s="6">
        <f>Config!I9+20*B417+IF(B417&gt;=3,10*(B417-2),0)</f>
        <v/>
      </c>
      <c r="E417" s="6" t="inlineStr">
        <is>
          <t>-</t>
        </is>
      </c>
      <c r="F417" s="6" t="inlineStr">
        <is>
          <t>-</t>
        </is>
      </c>
      <c r="G417" s="6" t="inlineStr"/>
    </row>
    <row r="418">
      <c r="A418" s="6" t="inlineStr">
        <is>
          <t>❤️生命强化</t>
        </is>
      </c>
      <c r="B418" s="6" t="n">
        <v>68</v>
      </c>
      <c r="C418" s="7" t="inlineStr">
        <is>
          <t>最大生命 +20</t>
        </is>
      </c>
      <c r="D418" s="6">
        <f>Config!I9+20*B418+IF(B418&gt;=3,10*(B418-2),0)</f>
        <v/>
      </c>
      <c r="E418" s="6" t="inlineStr">
        <is>
          <t>-</t>
        </is>
      </c>
      <c r="F418" s="6" t="inlineStr">
        <is>
          <t>-</t>
        </is>
      </c>
      <c r="G418" s="6" t="inlineStr"/>
    </row>
    <row r="419">
      <c r="A419" s="6" t="inlineStr">
        <is>
          <t>❤️生命强化</t>
        </is>
      </c>
      <c r="B419" s="6" t="n">
        <v>69</v>
      </c>
      <c r="C419" s="7" t="inlineStr">
        <is>
          <t>最大生命 +20</t>
        </is>
      </c>
      <c r="D419" s="6">
        <f>Config!I9+20*B419+IF(B419&gt;=3,10*(B419-2),0)</f>
        <v/>
      </c>
      <c r="E419" s="6" t="inlineStr">
        <is>
          <t>-</t>
        </is>
      </c>
      <c r="F419" s="6" t="inlineStr">
        <is>
          <t>-</t>
        </is>
      </c>
      <c r="G419" s="6" t="inlineStr"/>
    </row>
    <row r="420">
      <c r="A420" s="6" t="inlineStr">
        <is>
          <t>❤️生命强化</t>
        </is>
      </c>
      <c r="B420" s="6" t="n">
        <v>70</v>
      </c>
      <c r="C420" s="7" t="inlineStr">
        <is>
          <t>最大生命 +20</t>
        </is>
      </c>
      <c r="D420" s="6">
        <f>Config!I9+20*B420+IF(B420&gt;=3,10*(B420-2),0)</f>
        <v/>
      </c>
      <c r="E420" s="6" t="inlineStr">
        <is>
          <t>-</t>
        </is>
      </c>
      <c r="F420" s="6" t="inlineStr">
        <is>
          <t>-</t>
        </is>
      </c>
      <c r="G420" s="6" t="inlineStr"/>
    </row>
    <row r="421">
      <c r="A421" s="6" t="inlineStr">
        <is>
          <t>❤️生命强化</t>
        </is>
      </c>
      <c r="B421" s="6" t="n">
        <v>71</v>
      </c>
      <c r="C421" s="7" t="inlineStr">
        <is>
          <t>最大生命 +20</t>
        </is>
      </c>
      <c r="D421" s="6">
        <f>Config!I9+20*B421+IF(B421&gt;=3,10*(B421-2),0)</f>
        <v/>
      </c>
      <c r="E421" s="6" t="inlineStr">
        <is>
          <t>-</t>
        </is>
      </c>
      <c r="F421" s="6" t="inlineStr">
        <is>
          <t>-</t>
        </is>
      </c>
      <c r="G421" s="6" t="inlineStr"/>
    </row>
    <row r="422">
      <c r="A422" s="6" t="inlineStr">
        <is>
          <t>❤️生命强化</t>
        </is>
      </c>
      <c r="B422" s="6" t="n">
        <v>72</v>
      </c>
      <c r="C422" s="7" t="inlineStr">
        <is>
          <t>最大生命 +20</t>
        </is>
      </c>
      <c r="D422" s="6">
        <f>Config!I9+20*B422+IF(B422&gt;=3,10*(B422-2),0)</f>
        <v/>
      </c>
      <c r="E422" s="6" t="inlineStr">
        <is>
          <t>-</t>
        </is>
      </c>
      <c r="F422" s="6" t="inlineStr">
        <is>
          <t>-</t>
        </is>
      </c>
      <c r="G422" s="6" t="inlineStr"/>
    </row>
    <row r="423">
      <c r="A423" s="6" t="inlineStr">
        <is>
          <t>❤️生命强化</t>
        </is>
      </c>
      <c r="B423" s="6" t="n">
        <v>73</v>
      </c>
      <c r="C423" s="7" t="inlineStr">
        <is>
          <t>最大生命 +20</t>
        </is>
      </c>
      <c r="D423" s="6">
        <f>Config!I9+20*B423+IF(B423&gt;=3,10*(B423-2),0)</f>
        <v/>
      </c>
      <c r="E423" s="6" t="inlineStr">
        <is>
          <t>-</t>
        </is>
      </c>
      <c r="F423" s="6" t="inlineStr">
        <is>
          <t>-</t>
        </is>
      </c>
      <c r="G423" s="6" t="inlineStr"/>
    </row>
    <row r="424">
      <c r="A424" s="6" t="inlineStr">
        <is>
          <t>❤️生命强化</t>
        </is>
      </c>
      <c r="B424" s="6" t="n">
        <v>74</v>
      </c>
      <c r="C424" s="7" t="inlineStr">
        <is>
          <t>最大生命 +20</t>
        </is>
      </c>
      <c r="D424" s="6">
        <f>Config!I9+20*B424+IF(B424&gt;=3,10*(B424-2),0)</f>
        <v/>
      </c>
      <c r="E424" s="6" t="inlineStr">
        <is>
          <t>-</t>
        </is>
      </c>
      <c r="F424" s="6" t="inlineStr">
        <is>
          <t>-</t>
        </is>
      </c>
      <c r="G424" s="6" t="inlineStr"/>
    </row>
    <row r="425">
      <c r="A425" s="6" t="inlineStr">
        <is>
          <t>❤️生命强化</t>
        </is>
      </c>
      <c r="B425" s="6" t="n">
        <v>75</v>
      </c>
      <c r="C425" s="7" t="inlineStr">
        <is>
          <t>最大生命 +20</t>
        </is>
      </c>
      <c r="D425" s="6">
        <f>Config!I9+20*B425+IF(B425&gt;=3,10*(B425-2),0)</f>
        <v/>
      </c>
      <c r="E425" s="6" t="inlineStr">
        <is>
          <t>-</t>
        </is>
      </c>
      <c r="F425" s="6" t="inlineStr">
        <is>
          <t>-</t>
        </is>
      </c>
      <c r="G425" s="6" t="inlineStr"/>
    </row>
    <row r="426">
      <c r="A426" s="6" t="inlineStr">
        <is>
          <t>❤️生命强化</t>
        </is>
      </c>
      <c r="B426" s="6" t="n">
        <v>76</v>
      </c>
      <c r="C426" s="7" t="inlineStr">
        <is>
          <t>最大生命 +20</t>
        </is>
      </c>
      <c r="D426" s="6">
        <f>Config!I9+20*B426+IF(B426&gt;=3,10*(B426-2),0)</f>
        <v/>
      </c>
      <c r="E426" s="6" t="inlineStr">
        <is>
          <t>-</t>
        </is>
      </c>
      <c r="F426" s="6" t="inlineStr">
        <is>
          <t>-</t>
        </is>
      </c>
      <c r="G426" s="6" t="inlineStr"/>
    </row>
    <row r="427">
      <c r="A427" s="6" t="inlineStr">
        <is>
          <t>❤️生命强化</t>
        </is>
      </c>
      <c r="B427" s="6" t="n">
        <v>77</v>
      </c>
      <c r="C427" s="7" t="inlineStr">
        <is>
          <t>最大生命 +20</t>
        </is>
      </c>
      <c r="D427" s="6">
        <f>Config!I9+20*B427+IF(B427&gt;=3,10*(B427-2),0)</f>
        <v/>
      </c>
      <c r="E427" s="6" t="inlineStr">
        <is>
          <t>-</t>
        </is>
      </c>
      <c r="F427" s="6" t="inlineStr">
        <is>
          <t>-</t>
        </is>
      </c>
      <c r="G427" s="6" t="inlineStr"/>
    </row>
    <row r="428">
      <c r="A428" s="6" t="inlineStr">
        <is>
          <t>❤️生命强化</t>
        </is>
      </c>
      <c r="B428" s="6" t="n">
        <v>78</v>
      </c>
      <c r="C428" s="7" t="inlineStr">
        <is>
          <t>最大生命 +20</t>
        </is>
      </c>
      <c r="D428" s="6">
        <f>Config!I9+20*B428+IF(B428&gt;=3,10*(B428-2),0)</f>
        <v/>
      </c>
      <c r="E428" s="6" t="inlineStr">
        <is>
          <t>-</t>
        </is>
      </c>
      <c r="F428" s="6" t="inlineStr">
        <is>
          <t>-</t>
        </is>
      </c>
      <c r="G428" s="6" t="inlineStr"/>
    </row>
    <row r="429">
      <c r="A429" s="6" t="inlineStr">
        <is>
          <t>❤️生命强化</t>
        </is>
      </c>
      <c r="B429" s="6" t="n">
        <v>79</v>
      </c>
      <c r="C429" s="7" t="inlineStr">
        <is>
          <t>最大生命 +20</t>
        </is>
      </c>
      <c r="D429" s="6">
        <f>Config!I9+20*B429+IF(B429&gt;=3,10*(B429-2),0)</f>
        <v/>
      </c>
      <c r="E429" s="6" t="inlineStr">
        <is>
          <t>-</t>
        </is>
      </c>
      <c r="F429" s="6" t="inlineStr">
        <is>
          <t>-</t>
        </is>
      </c>
      <c r="G429" s="6" t="inlineStr"/>
    </row>
    <row r="430">
      <c r="A430" s="6" t="inlineStr">
        <is>
          <t>❤️生命强化</t>
        </is>
      </c>
      <c r="B430" s="6" t="n">
        <v>80</v>
      </c>
      <c r="C430" s="7" t="inlineStr">
        <is>
          <t>最大生命 +20</t>
        </is>
      </c>
      <c r="D430" s="6">
        <f>Config!I9+20*B430+IF(B430&gt;=3,10*(B430-2),0)</f>
        <v/>
      </c>
      <c r="E430" s="6" t="inlineStr">
        <is>
          <t>-</t>
        </is>
      </c>
      <c r="F430" s="6" t="inlineStr">
        <is>
          <t>-</t>
        </is>
      </c>
      <c r="G430" s="6" t="inlineStr"/>
    </row>
    <row r="431">
      <c r="A431" s="6" t="inlineStr">
        <is>
          <t>❤️生命强化</t>
        </is>
      </c>
      <c r="B431" s="6" t="n">
        <v>81</v>
      </c>
      <c r="C431" s="7" t="inlineStr">
        <is>
          <t>最大生命 +20</t>
        </is>
      </c>
      <c r="D431" s="6">
        <f>Config!I9+20*B431+IF(B431&gt;=3,10*(B431-2),0)</f>
        <v/>
      </c>
      <c r="E431" s="6" t="inlineStr">
        <is>
          <t>-</t>
        </is>
      </c>
      <c r="F431" s="6" t="inlineStr">
        <is>
          <t>-</t>
        </is>
      </c>
      <c r="G431" s="6" t="inlineStr"/>
    </row>
    <row r="432">
      <c r="A432" s="6" t="inlineStr">
        <is>
          <t>❤️生命强化</t>
        </is>
      </c>
      <c r="B432" s="6" t="n">
        <v>82</v>
      </c>
      <c r="C432" s="7" t="inlineStr">
        <is>
          <t>最大生命 +20</t>
        </is>
      </c>
      <c r="D432" s="6">
        <f>Config!I9+20*B432+IF(B432&gt;=3,10*(B432-2),0)</f>
        <v/>
      </c>
      <c r="E432" s="6" t="inlineStr">
        <is>
          <t>-</t>
        </is>
      </c>
      <c r="F432" s="6" t="inlineStr">
        <is>
          <t>-</t>
        </is>
      </c>
      <c r="G432" s="6" t="inlineStr"/>
    </row>
    <row r="433">
      <c r="A433" s="6" t="inlineStr">
        <is>
          <t>❤️生命强化</t>
        </is>
      </c>
      <c r="B433" s="6" t="n">
        <v>83</v>
      </c>
      <c r="C433" s="7" t="inlineStr">
        <is>
          <t>最大生命 +20</t>
        </is>
      </c>
      <c r="D433" s="6">
        <f>Config!I9+20*B433+IF(B433&gt;=3,10*(B433-2),0)</f>
        <v/>
      </c>
      <c r="E433" s="6" t="inlineStr">
        <is>
          <t>-</t>
        </is>
      </c>
      <c r="F433" s="6" t="inlineStr">
        <is>
          <t>-</t>
        </is>
      </c>
      <c r="G433" s="6" t="inlineStr"/>
    </row>
    <row r="434">
      <c r="A434" s="6" t="inlineStr">
        <is>
          <t>❤️生命强化</t>
        </is>
      </c>
      <c r="B434" s="6" t="n">
        <v>84</v>
      </c>
      <c r="C434" s="7" t="inlineStr">
        <is>
          <t>最大生命 +20</t>
        </is>
      </c>
      <c r="D434" s="6">
        <f>Config!I9+20*B434+IF(B434&gt;=3,10*(B434-2),0)</f>
        <v/>
      </c>
      <c r="E434" s="6" t="inlineStr">
        <is>
          <t>-</t>
        </is>
      </c>
      <c r="F434" s="6" t="inlineStr">
        <is>
          <t>-</t>
        </is>
      </c>
      <c r="G434" s="6" t="inlineStr"/>
    </row>
    <row r="435">
      <c r="A435" s="6" t="inlineStr">
        <is>
          <t>❤️生命强化</t>
        </is>
      </c>
      <c r="B435" s="6" t="n">
        <v>85</v>
      </c>
      <c r="C435" s="7" t="inlineStr">
        <is>
          <t>最大生命 +20</t>
        </is>
      </c>
      <c r="D435" s="6">
        <f>Config!I9+20*B435+IF(B435&gt;=3,10*(B435-2),0)</f>
        <v/>
      </c>
      <c r="E435" s="6" t="inlineStr">
        <is>
          <t>-</t>
        </is>
      </c>
      <c r="F435" s="6" t="inlineStr">
        <is>
          <t>-</t>
        </is>
      </c>
      <c r="G435" s="6" t="inlineStr"/>
    </row>
    <row r="436">
      <c r="A436" s="6" t="inlineStr">
        <is>
          <t>❤️生命强化</t>
        </is>
      </c>
      <c r="B436" s="6" t="n">
        <v>86</v>
      </c>
      <c r="C436" s="7" t="inlineStr">
        <is>
          <t>最大生命 +20</t>
        </is>
      </c>
      <c r="D436" s="6">
        <f>Config!I9+20*B436+IF(B436&gt;=3,10*(B436-2),0)</f>
        <v/>
      </c>
      <c r="E436" s="6" t="inlineStr">
        <is>
          <t>-</t>
        </is>
      </c>
      <c r="F436" s="6" t="inlineStr">
        <is>
          <t>-</t>
        </is>
      </c>
      <c r="G436" s="6" t="inlineStr"/>
    </row>
    <row r="437">
      <c r="A437" s="6" t="inlineStr">
        <is>
          <t>❤️生命强化</t>
        </is>
      </c>
      <c r="B437" s="6" t="n">
        <v>87</v>
      </c>
      <c r="C437" s="7" t="inlineStr">
        <is>
          <t>最大生命 +20</t>
        </is>
      </c>
      <c r="D437" s="6">
        <f>Config!I9+20*B437+IF(B437&gt;=3,10*(B437-2),0)</f>
        <v/>
      </c>
      <c r="E437" s="6" t="inlineStr">
        <is>
          <t>-</t>
        </is>
      </c>
      <c r="F437" s="6" t="inlineStr">
        <is>
          <t>-</t>
        </is>
      </c>
      <c r="G437" s="6" t="inlineStr"/>
    </row>
    <row r="438">
      <c r="A438" s="6" t="inlineStr">
        <is>
          <t>❤️生命强化</t>
        </is>
      </c>
      <c r="B438" s="6" t="n">
        <v>88</v>
      </c>
      <c r="C438" s="7" t="inlineStr">
        <is>
          <t>最大生命 +20</t>
        </is>
      </c>
      <c r="D438" s="6">
        <f>Config!I9+20*B438+IF(B438&gt;=3,10*(B438-2),0)</f>
        <v/>
      </c>
      <c r="E438" s="6" t="inlineStr">
        <is>
          <t>-</t>
        </is>
      </c>
      <c r="F438" s="6" t="inlineStr">
        <is>
          <t>-</t>
        </is>
      </c>
      <c r="G438" s="6" t="inlineStr"/>
    </row>
    <row r="439">
      <c r="A439" s="6" t="inlineStr">
        <is>
          <t>❤️生命强化</t>
        </is>
      </c>
      <c r="B439" s="6" t="n">
        <v>89</v>
      </c>
      <c r="C439" s="7" t="inlineStr">
        <is>
          <t>最大生命 +20</t>
        </is>
      </c>
      <c r="D439" s="6">
        <f>Config!I9+20*B439+IF(B439&gt;=3,10*(B439-2),0)</f>
        <v/>
      </c>
      <c r="E439" s="6" t="inlineStr">
        <is>
          <t>-</t>
        </is>
      </c>
      <c r="F439" s="6" t="inlineStr">
        <is>
          <t>-</t>
        </is>
      </c>
      <c r="G439" s="6" t="inlineStr"/>
    </row>
    <row r="440">
      <c r="A440" s="6" t="inlineStr">
        <is>
          <t>❤️生命强化</t>
        </is>
      </c>
      <c r="B440" s="6" t="n">
        <v>90</v>
      </c>
      <c r="C440" s="7" t="inlineStr">
        <is>
          <t>最大生命 +20</t>
        </is>
      </c>
      <c r="D440" s="6">
        <f>Config!I9+20*B440+IF(B440&gt;=3,10*(B440-2),0)</f>
        <v/>
      </c>
      <c r="E440" s="6" t="inlineStr">
        <is>
          <t>-</t>
        </is>
      </c>
      <c r="F440" s="6" t="inlineStr">
        <is>
          <t>-</t>
        </is>
      </c>
      <c r="G440" s="6" t="inlineStr"/>
    </row>
    <row r="441">
      <c r="A441" s="6" t="inlineStr">
        <is>
          <t>❤️生命强化</t>
        </is>
      </c>
      <c r="B441" s="6" t="n">
        <v>91</v>
      </c>
      <c r="C441" s="7" t="inlineStr">
        <is>
          <t>最大生命 +20</t>
        </is>
      </c>
      <c r="D441" s="6">
        <f>Config!I9+20*B441+IF(B441&gt;=3,10*(B441-2),0)</f>
        <v/>
      </c>
      <c r="E441" s="6" t="inlineStr">
        <is>
          <t>-</t>
        </is>
      </c>
      <c r="F441" s="6" t="inlineStr">
        <is>
          <t>-</t>
        </is>
      </c>
      <c r="G441" s="6" t="inlineStr"/>
    </row>
    <row r="442">
      <c r="A442" s="6" t="inlineStr">
        <is>
          <t>❤️生命强化</t>
        </is>
      </c>
      <c r="B442" s="6" t="n">
        <v>92</v>
      </c>
      <c r="C442" s="7" t="inlineStr">
        <is>
          <t>最大生命 +20</t>
        </is>
      </c>
      <c r="D442" s="6">
        <f>Config!I9+20*B442+IF(B442&gt;=3,10*(B442-2),0)</f>
        <v/>
      </c>
      <c r="E442" s="6" t="inlineStr">
        <is>
          <t>-</t>
        </is>
      </c>
      <c r="F442" s="6" t="inlineStr">
        <is>
          <t>-</t>
        </is>
      </c>
      <c r="G442" s="6" t="inlineStr"/>
    </row>
    <row r="443">
      <c r="A443" s="6" t="inlineStr">
        <is>
          <t>❤️生命强化</t>
        </is>
      </c>
      <c r="B443" s="6" t="n">
        <v>93</v>
      </c>
      <c r="C443" s="7" t="inlineStr">
        <is>
          <t>最大生命 +20</t>
        </is>
      </c>
      <c r="D443" s="6">
        <f>Config!I9+20*B443+IF(B443&gt;=3,10*(B443-2),0)</f>
        <v/>
      </c>
      <c r="E443" s="6" t="inlineStr">
        <is>
          <t>-</t>
        </is>
      </c>
      <c r="F443" s="6" t="inlineStr">
        <is>
          <t>-</t>
        </is>
      </c>
      <c r="G443" s="6" t="inlineStr"/>
    </row>
    <row r="444">
      <c r="A444" s="6" t="inlineStr">
        <is>
          <t>❤️生命强化</t>
        </is>
      </c>
      <c r="B444" s="6" t="n">
        <v>94</v>
      </c>
      <c r="C444" s="7" t="inlineStr">
        <is>
          <t>最大生命 +20</t>
        </is>
      </c>
      <c r="D444" s="6">
        <f>Config!I9+20*B444+IF(B444&gt;=3,10*(B444-2),0)</f>
        <v/>
      </c>
      <c r="E444" s="6" t="inlineStr">
        <is>
          <t>-</t>
        </is>
      </c>
      <c r="F444" s="6" t="inlineStr">
        <is>
          <t>-</t>
        </is>
      </c>
      <c r="G444" s="6" t="inlineStr"/>
    </row>
    <row r="445">
      <c r="A445" s="6" t="inlineStr">
        <is>
          <t>❤️生命强化</t>
        </is>
      </c>
      <c r="B445" s="6" t="n">
        <v>95</v>
      </c>
      <c r="C445" s="7" t="inlineStr">
        <is>
          <t>最大生命 +20</t>
        </is>
      </c>
      <c r="D445" s="6">
        <f>Config!I9+20*B445+IF(B445&gt;=3,10*(B445-2),0)</f>
        <v/>
      </c>
      <c r="E445" s="6" t="inlineStr">
        <is>
          <t>-</t>
        </is>
      </c>
      <c r="F445" s="6" t="inlineStr">
        <is>
          <t>-</t>
        </is>
      </c>
      <c r="G445" s="6" t="inlineStr"/>
    </row>
    <row r="446">
      <c r="A446" s="6" t="inlineStr">
        <is>
          <t>❤️生命强化</t>
        </is>
      </c>
      <c r="B446" s="6" t="n">
        <v>96</v>
      </c>
      <c r="C446" s="7" t="inlineStr">
        <is>
          <t>最大生命 +20</t>
        </is>
      </c>
      <c r="D446" s="6">
        <f>Config!I9+20*B446+IF(B446&gt;=3,10*(B446-2),0)</f>
        <v/>
      </c>
      <c r="E446" s="6" t="inlineStr">
        <is>
          <t>-</t>
        </is>
      </c>
      <c r="F446" s="6" t="inlineStr">
        <is>
          <t>-</t>
        </is>
      </c>
      <c r="G446" s="6" t="inlineStr"/>
    </row>
    <row r="447">
      <c r="A447" s="6" t="inlineStr">
        <is>
          <t>❤️生命强化</t>
        </is>
      </c>
      <c r="B447" s="6" t="n">
        <v>97</v>
      </c>
      <c r="C447" s="7" t="inlineStr">
        <is>
          <t>最大生命 +20</t>
        </is>
      </c>
      <c r="D447" s="6">
        <f>Config!I9+20*B447+IF(B447&gt;=3,10*(B447-2),0)</f>
        <v/>
      </c>
      <c r="E447" s="6" t="inlineStr">
        <is>
          <t>-</t>
        </is>
      </c>
      <c r="F447" s="6" t="inlineStr">
        <is>
          <t>-</t>
        </is>
      </c>
      <c r="G447" s="6" t="inlineStr"/>
    </row>
    <row r="448">
      <c r="A448" s="6" t="inlineStr">
        <is>
          <t>❤️生命强化</t>
        </is>
      </c>
      <c r="B448" s="6" t="n">
        <v>98</v>
      </c>
      <c r="C448" s="7" t="inlineStr">
        <is>
          <t>最大生命 +20</t>
        </is>
      </c>
      <c r="D448" s="6">
        <f>Config!I9+20*B448+IF(B448&gt;=3,10*(B448-2),0)</f>
        <v/>
      </c>
      <c r="E448" s="6" t="inlineStr">
        <is>
          <t>-</t>
        </is>
      </c>
      <c r="F448" s="6" t="inlineStr">
        <is>
          <t>-</t>
        </is>
      </c>
      <c r="G448" s="6" t="inlineStr"/>
    </row>
    <row r="449">
      <c r="A449" s="6" t="inlineStr">
        <is>
          <t>❤️生命强化</t>
        </is>
      </c>
      <c r="B449" s="6" t="n">
        <v>99</v>
      </c>
      <c r="C449" s="7" t="inlineStr">
        <is>
          <t>最大生命 +20</t>
        </is>
      </c>
      <c r="D449" s="6">
        <f>Config!I9+20*B449+IF(B449&gt;=3,10*(B449-2),0)</f>
        <v/>
      </c>
      <c r="E449" s="6" t="inlineStr">
        <is>
          <t>-</t>
        </is>
      </c>
      <c r="F449" s="6" t="inlineStr">
        <is>
          <t>-</t>
        </is>
      </c>
      <c r="G449" s="6" t="inlineStr"/>
    </row>
    <row r="450">
      <c r="A450" s="6" t="inlineStr">
        <is>
          <t>💥爆炸弹</t>
        </is>
      </c>
      <c r="B450" s="6" t="n">
        <v>1</v>
      </c>
      <c r="C450" s="7" t="inlineStr">
        <is>
          <t>爆炸半径 +20；AOE伤害 = 单发×(0.3+0.1×等级)</t>
        </is>
      </c>
      <c r="D450" s="6">
        <f>(40+20*B450)*IF(B450&gt;=5,1.5,1)</f>
        <v/>
      </c>
      <c r="E450" s="6">
        <f>Config!I10*(0.3+0.1*B450)*IF(B450&gt;=5,1.5,1)</f>
        <v/>
      </c>
      <c r="F450" s="6" t="inlineStr">
        <is>
          <t>-</t>
        </is>
      </c>
      <c r="G450" s="6" t="inlineStr"/>
    </row>
    <row r="451">
      <c r="A451" s="6" t="inlineStr">
        <is>
          <t>💥爆炸弹</t>
        </is>
      </c>
      <c r="B451" s="6" t="n">
        <v>2</v>
      </c>
      <c r="C451" s="7" t="inlineStr">
        <is>
          <t>爆炸半径 +20；AOE伤害 = 单发×(0.3+0.1×等级)</t>
        </is>
      </c>
      <c r="D451" s="6">
        <f>(40+20*B451)*IF(B451&gt;=5,1.5,1)</f>
        <v/>
      </c>
      <c r="E451" s="6">
        <f>Config!I10*(0.3+0.1*B451)*IF(B451&gt;=5,1.5,1)</f>
        <v/>
      </c>
      <c r="F451" s="6" t="inlineStr">
        <is>
          <t>-</t>
        </is>
      </c>
      <c r="G451" s="6" t="inlineStr"/>
    </row>
    <row r="452">
      <c r="A452" s="8" t="inlineStr">
        <is>
          <t>💥爆炸弹</t>
        </is>
      </c>
      <c r="B452" s="8" t="n">
        <v>3</v>
      </c>
      <c r="C452" s="9" t="inlineStr">
        <is>
          <t>爆炸遗留火池(灼烧)</t>
        </is>
      </c>
      <c r="D452" s="8">
        <f>(40+20*B452)*IF(B452&gt;=5,1.5,1)</f>
        <v/>
      </c>
      <c r="E452" s="8">
        <f>Config!I10*(0.3+0.1*B452)*IF(B452&gt;=5,1.5,1)</f>
        <v/>
      </c>
      <c r="F452" s="8" t="inlineStr">
        <is>
          <t>-</t>
        </is>
      </c>
      <c r="G452" s="8" t="inlineStr">
        <is>
          <t>★Lv3质变</t>
        </is>
      </c>
    </row>
    <row r="453">
      <c r="A453" s="6" t="inlineStr">
        <is>
          <t>💥爆炸弹</t>
        </is>
      </c>
      <c r="B453" s="6" t="n">
        <v>4</v>
      </c>
      <c r="C453" s="7" t="inlineStr">
        <is>
          <t>爆炸半径 +20；AOE伤害 = 单发×(0.3+0.1×等级)</t>
        </is>
      </c>
      <c r="D453" s="6">
        <f>(40+20*B453)*IF(B453&gt;=5,1.5,1)</f>
        <v/>
      </c>
      <c r="E453" s="6">
        <f>Config!I10*(0.3+0.1*B453)*IF(B453&gt;=5,1.5,1)</f>
        <v/>
      </c>
      <c r="F453" s="6" t="inlineStr">
        <is>
          <t>-</t>
        </is>
      </c>
      <c r="G453" s="6" t="inlineStr"/>
    </row>
    <row r="454">
      <c r="A454" s="8" t="inlineStr">
        <is>
          <t>💥爆炸弹</t>
        </is>
      </c>
      <c r="B454" s="8" t="n">
        <v>5</v>
      </c>
      <c r="C454" s="9" t="inlineStr">
        <is>
          <t>范围 +50% &amp; 二次小爆</t>
        </is>
      </c>
      <c r="D454" s="8">
        <f>(40+20*B454)*IF(B454&gt;=5,1.5,1)</f>
        <v/>
      </c>
      <c r="E454" s="8">
        <f>Config!I10*(0.3+0.1*B454)*IF(B454&gt;=5,1.5,1)</f>
        <v/>
      </c>
      <c r="F454" s="8" t="inlineStr">
        <is>
          <t>-</t>
        </is>
      </c>
      <c r="G454" s="8" t="inlineStr">
        <is>
          <t>★Lv5质变</t>
        </is>
      </c>
    </row>
    <row r="455">
      <c r="A455" s="6" t="inlineStr">
        <is>
          <t>💥爆炸弹</t>
        </is>
      </c>
      <c r="B455" s="6" t="n">
        <v>6</v>
      </c>
      <c r="C455" s="7" t="inlineStr">
        <is>
          <t>爆炸半径 +20；AOE伤害 = 单发×(0.3+0.1×等级)</t>
        </is>
      </c>
      <c r="D455" s="6">
        <f>(40+20*B455)*IF(B455&gt;=5,1.5,1)</f>
        <v/>
      </c>
      <c r="E455" s="6">
        <f>Config!I10*(0.3+0.1*B455)*IF(B455&gt;=5,1.5,1)</f>
        <v/>
      </c>
      <c r="F455" s="6" t="inlineStr">
        <is>
          <t>-</t>
        </is>
      </c>
      <c r="G455" s="6" t="inlineStr"/>
    </row>
    <row r="456">
      <c r="A456" s="6" t="inlineStr">
        <is>
          <t>💥爆炸弹</t>
        </is>
      </c>
      <c r="B456" s="6" t="n">
        <v>7</v>
      </c>
      <c r="C456" s="7" t="inlineStr">
        <is>
          <t>爆炸半径 +20；AOE伤害 = 单发×(0.3+0.1×等级)</t>
        </is>
      </c>
      <c r="D456" s="6">
        <f>(40+20*B456)*IF(B456&gt;=5,1.5,1)</f>
        <v/>
      </c>
      <c r="E456" s="6">
        <f>Config!I10*(0.3+0.1*B456)*IF(B456&gt;=5,1.5,1)</f>
        <v/>
      </c>
      <c r="F456" s="6" t="inlineStr">
        <is>
          <t>-</t>
        </is>
      </c>
      <c r="G456" s="6" t="inlineStr"/>
    </row>
    <row r="457">
      <c r="A457" s="6" t="inlineStr">
        <is>
          <t>💥爆炸弹</t>
        </is>
      </c>
      <c r="B457" s="6" t="n">
        <v>8</v>
      </c>
      <c r="C457" s="7" t="inlineStr">
        <is>
          <t>爆炸半径 +20；AOE伤害 = 单发×(0.3+0.1×等级)</t>
        </is>
      </c>
      <c r="D457" s="6">
        <f>(40+20*B457)*IF(B457&gt;=5,1.5,1)</f>
        <v/>
      </c>
      <c r="E457" s="6">
        <f>Config!I10*(0.3+0.1*B457)*IF(B457&gt;=5,1.5,1)</f>
        <v/>
      </c>
      <c r="F457" s="6" t="inlineStr">
        <is>
          <t>-</t>
        </is>
      </c>
      <c r="G457" s="6" t="inlineStr"/>
    </row>
    <row r="458">
      <c r="A458" s="6" t="inlineStr">
        <is>
          <t>💥爆炸弹</t>
        </is>
      </c>
      <c r="B458" s="6" t="n">
        <v>9</v>
      </c>
      <c r="C458" s="7" t="inlineStr">
        <is>
          <t>爆炸半径 +20；AOE伤害 = 单发×(0.3+0.1×等级)</t>
        </is>
      </c>
      <c r="D458" s="6">
        <f>(40+20*B458)*IF(B458&gt;=5,1.5,1)</f>
        <v/>
      </c>
      <c r="E458" s="6">
        <f>Config!I10*(0.3+0.1*B458)*IF(B458&gt;=5,1.5,1)</f>
        <v/>
      </c>
      <c r="F458" s="6" t="inlineStr">
        <is>
          <t>-</t>
        </is>
      </c>
      <c r="G458" s="6" t="inlineStr"/>
    </row>
    <row r="459">
      <c r="A459" s="6" t="inlineStr">
        <is>
          <t>💥爆炸弹</t>
        </is>
      </c>
      <c r="B459" s="6" t="n">
        <v>10</v>
      </c>
      <c r="C459" s="7" t="inlineStr">
        <is>
          <t>爆炸半径 +20；AOE伤害 = 单发×(0.3+0.1×等级)</t>
        </is>
      </c>
      <c r="D459" s="6">
        <f>(40+20*B459)*IF(B459&gt;=5,1.5,1)</f>
        <v/>
      </c>
      <c r="E459" s="6">
        <f>Config!I10*(0.3+0.1*B459)*IF(B459&gt;=5,1.5,1)</f>
        <v/>
      </c>
      <c r="F459" s="6" t="inlineStr">
        <is>
          <t>-</t>
        </is>
      </c>
      <c r="G459" s="6" t="inlineStr"/>
    </row>
    <row r="460">
      <c r="A460" s="6" t="inlineStr">
        <is>
          <t>💥爆炸弹</t>
        </is>
      </c>
      <c r="B460" s="6" t="n">
        <v>11</v>
      </c>
      <c r="C460" s="7" t="inlineStr">
        <is>
          <t>爆炸半径 +20；AOE伤害 = 单发×(0.3+0.1×等级)</t>
        </is>
      </c>
      <c r="D460" s="6">
        <f>(40+20*B460)*IF(B460&gt;=5,1.5,1)</f>
        <v/>
      </c>
      <c r="E460" s="6">
        <f>Config!I10*(0.3+0.1*B460)*IF(B460&gt;=5,1.5,1)</f>
        <v/>
      </c>
      <c r="F460" s="6" t="inlineStr">
        <is>
          <t>-</t>
        </is>
      </c>
      <c r="G460" s="6" t="inlineStr"/>
    </row>
    <row r="461">
      <c r="A461" s="6" t="inlineStr">
        <is>
          <t>💥爆炸弹</t>
        </is>
      </c>
      <c r="B461" s="6" t="n">
        <v>12</v>
      </c>
      <c r="C461" s="7" t="inlineStr">
        <is>
          <t>爆炸半径 +20；AOE伤害 = 单发×(0.3+0.1×等级)</t>
        </is>
      </c>
      <c r="D461" s="6">
        <f>(40+20*B461)*IF(B461&gt;=5,1.5,1)</f>
        <v/>
      </c>
      <c r="E461" s="6">
        <f>Config!I10*(0.3+0.1*B461)*IF(B461&gt;=5,1.5,1)</f>
        <v/>
      </c>
      <c r="F461" s="6" t="inlineStr">
        <is>
          <t>-</t>
        </is>
      </c>
      <c r="G461" s="6" t="inlineStr"/>
    </row>
    <row r="462">
      <c r="A462" s="6" t="inlineStr">
        <is>
          <t>💥爆炸弹</t>
        </is>
      </c>
      <c r="B462" s="6" t="n">
        <v>13</v>
      </c>
      <c r="C462" s="7" t="inlineStr">
        <is>
          <t>爆炸半径 +20；AOE伤害 = 单发×(0.3+0.1×等级)</t>
        </is>
      </c>
      <c r="D462" s="6">
        <f>(40+20*B462)*IF(B462&gt;=5,1.5,1)</f>
        <v/>
      </c>
      <c r="E462" s="6">
        <f>Config!I10*(0.3+0.1*B462)*IF(B462&gt;=5,1.5,1)</f>
        <v/>
      </c>
      <c r="F462" s="6" t="inlineStr">
        <is>
          <t>-</t>
        </is>
      </c>
      <c r="G462" s="6" t="inlineStr"/>
    </row>
    <row r="463">
      <c r="A463" s="6" t="inlineStr">
        <is>
          <t>💥爆炸弹</t>
        </is>
      </c>
      <c r="B463" s="6" t="n">
        <v>14</v>
      </c>
      <c r="C463" s="7" t="inlineStr">
        <is>
          <t>爆炸半径 +20；AOE伤害 = 单发×(0.3+0.1×等级)</t>
        </is>
      </c>
      <c r="D463" s="6">
        <f>(40+20*B463)*IF(B463&gt;=5,1.5,1)</f>
        <v/>
      </c>
      <c r="E463" s="6">
        <f>Config!I10*(0.3+0.1*B463)*IF(B463&gt;=5,1.5,1)</f>
        <v/>
      </c>
      <c r="F463" s="6" t="inlineStr">
        <is>
          <t>-</t>
        </is>
      </c>
      <c r="G463" s="6" t="inlineStr"/>
    </row>
    <row r="464">
      <c r="A464" s="6" t="inlineStr">
        <is>
          <t>💥爆炸弹</t>
        </is>
      </c>
      <c r="B464" s="6" t="n">
        <v>15</v>
      </c>
      <c r="C464" s="7" t="inlineStr">
        <is>
          <t>爆炸半径 +20；AOE伤害 = 单发×(0.3+0.1×等级)</t>
        </is>
      </c>
      <c r="D464" s="6">
        <f>(40+20*B464)*IF(B464&gt;=5,1.5,1)</f>
        <v/>
      </c>
      <c r="E464" s="6">
        <f>Config!I10*(0.3+0.1*B464)*IF(B464&gt;=5,1.5,1)</f>
        <v/>
      </c>
      <c r="F464" s="6" t="inlineStr">
        <is>
          <t>-</t>
        </is>
      </c>
      <c r="G464" s="6" t="inlineStr"/>
    </row>
    <row r="465">
      <c r="A465" s="6" t="inlineStr">
        <is>
          <t>💥爆炸弹</t>
        </is>
      </c>
      <c r="B465" s="6" t="n">
        <v>16</v>
      </c>
      <c r="C465" s="7" t="inlineStr">
        <is>
          <t>爆炸半径 +20；AOE伤害 = 单发×(0.3+0.1×等级)</t>
        </is>
      </c>
      <c r="D465" s="6">
        <f>(40+20*B465)*IF(B465&gt;=5,1.5,1)</f>
        <v/>
      </c>
      <c r="E465" s="6">
        <f>Config!I10*(0.3+0.1*B465)*IF(B465&gt;=5,1.5,1)</f>
        <v/>
      </c>
      <c r="F465" s="6" t="inlineStr">
        <is>
          <t>-</t>
        </is>
      </c>
      <c r="G465" s="6" t="inlineStr"/>
    </row>
    <row r="466">
      <c r="A466" s="6" t="inlineStr">
        <is>
          <t>💥爆炸弹</t>
        </is>
      </c>
      <c r="B466" s="6" t="n">
        <v>17</v>
      </c>
      <c r="C466" s="7" t="inlineStr">
        <is>
          <t>爆炸半径 +20；AOE伤害 = 单发×(0.3+0.1×等级)</t>
        </is>
      </c>
      <c r="D466" s="6">
        <f>(40+20*B466)*IF(B466&gt;=5,1.5,1)</f>
        <v/>
      </c>
      <c r="E466" s="6">
        <f>Config!I10*(0.3+0.1*B466)*IF(B466&gt;=5,1.5,1)</f>
        <v/>
      </c>
      <c r="F466" s="6" t="inlineStr">
        <is>
          <t>-</t>
        </is>
      </c>
      <c r="G466" s="6" t="inlineStr"/>
    </row>
    <row r="467">
      <c r="A467" s="6" t="inlineStr">
        <is>
          <t>💥爆炸弹</t>
        </is>
      </c>
      <c r="B467" s="6" t="n">
        <v>18</v>
      </c>
      <c r="C467" s="7" t="inlineStr">
        <is>
          <t>爆炸半径 +20；AOE伤害 = 单发×(0.3+0.1×等级)</t>
        </is>
      </c>
      <c r="D467" s="6">
        <f>(40+20*B467)*IF(B467&gt;=5,1.5,1)</f>
        <v/>
      </c>
      <c r="E467" s="6">
        <f>Config!I10*(0.3+0.1*B467)*IF(B467&gt;=5,1.5,1)</f>
        <v/>
      </c>
      <c r="F467" s="6" t="inlineStr">
        <is>
          <t>-</t>
        </is>
      </c>
      <c r="G467" s="6" t="inlineStr"/>
    </row>
    <row r="468">
      <c r="A468" s="6" t="inlineStr">
        <is>
          <t>💥爆炸弹</t>
        </is>
      </c>
      <c r="B468" s="6" t="n">
        <v>19</v>
      </c>
      <c r="C468" s="7" t="inlineStr">
        <is>
          <t>爆炸半径 +20；AOE伤害 = 单发×(0.3+0.1×等级)</t>
        </is>
      </c>
      <c r="D468" s="6">
        <f>(40+20*B468)*IF(B468&gt;=5,1.5,1)</f>
        <v/>
      </c>
      <c r="E468" s="6">
        <f>Config!I10*(0.3+0.1*B468)*IF(B468&gt;=5,1.5,1)</f>
        <v/>
      </c>
      <c r="F468" s="6" t="inlineStr">
        <is>
          <t>-</t>
        </is>
      </c>
      <c r="G468" s="6" t="inlineStr"/>
    </row>
    <row r="469">
      <c r="A469" s="6" t="inlineStr">
        <is>
          <t>💥爆炸弹</t>
        </is>
      </c>
      <c r="B469" s="6" t="n">
        <v>20</v>
      </c>
      <c r="C469" s="7" t="inlineStr">
        <is>
          <t>爆炸半径 +20；AOE伤害 = 单发×(0.3+0.1×等级)</t>
        </is>
      </c>
      <c r="D469" s="6">
        <f>(40+20*B469)*IF(B469&gt;=5,1.5,1)</f>
        <v/>
      </c>
      <c r="E469" s="6">
        <f>Config!I10*(0.3+0.1*B469)*IF(B469&gt;=5,1.5,1)</f>
        <v/>
      </c>
      <c r="F469" s="6" t="inlineStr">
        <is>
          <t>-</t>
        </is>
      </c>
      <c r="G469" s="6" t="inlineStr"/>
    </row>
    <row r="470">
      <c r="A470" s="6" t="inlineStr">
        <is>
          <t>💥爆炸弹</t>
        </is>
      </c>
      <c r="B470" s="6" t="n">
        <v>21</v>
      </c>
      <c r="C470" s="7" t="inlineStr">
        <is>
          <t>爆炸半径 +20；AOE伤害 = 单发×(0.3+0.1×等级)</t>
        </is>
      </c>
      <c r="D470" s="6">
        <f>(40+20*B470)*IF(B470&gt;=5,1.5,1)</f>
        <v/>
      </c>
      <c r="E470" s="6">
        <f>Config!I10*(0.3+0.1*B470)*IF(B470&gt;=5,1.5,1)</f>
        <v/>
      </c>
      <c r="F470" s="6" t="inlineStr">
        <is>
          <t>-</t>
        </is>
      </c>
      <c r="G470" s="6" t="inlineStr"/>
    </row>
    <row r="471">
      <c r="A471" s="6" t="inlineStr">
        <is>
          <t>💥爆炸弹</t>
        </is>
      </c>
      <c r="B471" s="6" t="n">
        <v>22</v>
      </c>
      <c r="C471" s="7" t="inlineStr">
        <is>
          <t>爆炸半径 +20；AOE伤害 = 单发×(0.3+0.1×等级)</t>
        </is>
      </c>
      <c r="D471" s="6">
        <f>(40+20*B471)*IF(B471&gt;=5,1.5,1)</f>
        <v/>
      </c>
      <c r="E471" s="6">
        <f>Config!I10*(0.3+0.1*B471)*IF(B471&gt;=5,1.5,1)</f>
        <v/>
      </c>
      <c r="F471" s="6" t="inlineStr">
        <is>
          <t>-</t>
        </is>
      </c>
      <c r="G471" s="6" t="inlineStr"/>
    </row>
    <row r="472">
      <c r="A472" s="6" t="inlineStr">
        <is>
          <t>💥爆炸弹</t>
        </is>
      </c>
      <c r="B472" s="6" t="n">
        <v>23</v>
      </c>
      <c r="C472" s="7" t="inlineStr">
        <is>
          <t>爆炸半径 +20；AOE伤害 = 单发×(0.3+0.1×等级)</t>
        </is>
      </c>
      <c r="D472" s="6">
        <f>(40+20*B472)*IF(B472&gt;=5,1.5,1)</f>
        <v/>
      </c>
      <c r="E472" s="6">
        <f>Config!I10*(0.3+0.1*B472)*IF(B472&gt;=5,1.5,1)</f>
        <v/>
      </c>
      <c r="F472" s="6" t="inlineStr">
        <is>
          <t>-</t>
        </is>
      </c>
      <c r="G472" s="6" t="inlineStr"/>
    </row>
    <row r="473">
      <c r="A473" s="6" t="inlineStr">
        <is>
          <t>💥爆炸弹</t>
        </is>
      </c>
      <c r="B473" s="6" t="n">
        <v>24</v>
      </c>
      <c r="C473" s="7" t="inlineStr">
        <is>
          <t>爆炸半径 +20；AOE伤害 = 单发×(0.3+0.1×等级)</t>
        </is>
      </c>
      <c r="D473" s="6">
        <f>(40+20*B473)*IF(B473&gt;=5,1.5,1)</f>
        <v/>
      </c>
      <c r="E473" s="6">
        <f>Config!I10*(0.3+0.1*B473)*IF(B473&gt;=5,1.5,1)</f>
        <v/>
      </c>
      <c r="F473" s="6" t="inlineStr">
        <is>
          <t>-</t>
        </is>
      </c>
      <c r="G473" s="6" t="inlineStr"/>
    </row>
    <row r="474">
      <c r="A474" s="6" t="inlineStr">
        <is>
          <t>💥爆炸弹</t>
        </is>
      </c>
      <c r="B474" s="6" t="n">
        <v>25</v>
      </c>
      <c r="C474" s="7" t="inlineStr">
        <is>
          <t>爆炸半径 +20；AOE伤害 = 单发×(0.3+0.1×等级)</t>
        </is>
      </c>
      <c r="D474" s="6">
        <f>(40+20*B474)*IF(B474&gt;=5,1.5,1)</f>
        <v/>
      </c>
      <c r="E474" s="6">
        <f>Config!I10*(0.3+0.1*B474)*IF(B474&gt;=5,1.5,1)</f>
        <v/>
      </c>
      <c r="F474" s="6" t="inlineStr">
        <is>
          <t>-</t>
        </is>
      </c>
      <c r="G474" s="6" t="inlineStr"/>
    </row>
    <row r="475">
      <c r="A475" s="6" t="inlineStr">
        <is>
          <t>💥爆炸弹</t>
        </is>
      </c>
      <c r="B475" s="6" t="n">
        <v>26</v>
      </c>
      <c r="C475" s="7" t="inlineStr">
        <is>
          <t>爆炸半径 +20；AOE伤害 = 单发×(0.3+0.1×等级)</t>
        </is>
      </c>
      <c r="D475" s="6">
        <f>(40+20*B475)*IF(B475&gt;=5,1.5,1)</f>
        <v/>
      </c>
      <c r="E475" s="6">
        <f>Config!I10*(0.3+0.1*B475)*IF(B475&gt;=5,1.5,1)</f>
        <v/>
      </c>
      <c r="F475" s="6" t="inlineStr">
        <is>
          <t>-</t>
        </is>
      </c>
      <c r="G475" s="6" t="inlineStr"/>
    </row>
    <row r="476">
      <c r="A476" s="6" t="inlineStr">
        <is>
          <t>💥爆炸弹</t>
        </is>
      </c>
      <c r="B476" s="6" t="n">
        <v>27</v>
      </c>
      <c r="C476" s="7" t="inlineStr">
        <is>
          <t>爆炸半径 +20；AOE伤害 = 单发×(0.3+0.1×等级)</t>
        </is>
      </c>
      <c r="D476" s="6">
        <f>(40+20*B476)*IF(B476&gt;=5,1.5,1)</f>
        <v/>
      </c>
      <c r="E476" s="6">
        <f>Config!I10*(0.3+0.1*B476)*IF(B476&gt;=5,1.5,1)</f>
        <v/>
      </c>
      <c r="F476" s="6" t="inlineStr">
        <is>
          <t>-</t>
        </is>
      </c>
      <c r="G476" s="6" t="inlineStr"/>
    </row>
    <row r="477">
      <c r="A477" s="6" t="inlineStr">
        <is>
          <t>💥爆炸弹</t>
        </is>
      </c>
      <c r="B477" s="6" t="n">
        <v>28</v>
      </c>
      <c r="C477" s="7" t="inlineStr">
        <is>
          <t>爆炸半径 +20；AOE伤害 = 单发×(0.3+0.1×等级)</t>
        </is>
      </c>
      <c r="D477" s="6">
        <f>(40+20*B477)*IF(B477&gt;=5,1.5,1)</f>
        <v/>
      </c>
      <c r="E477" s="6">
        <f>Config!I10*(0.3+0.1*B477)*IF(B477&gt;=5,1.5,1)</f>
        <v/>
      </c>
      <c r="F477" s="6" t="inlineStr">
        <is>
          <t>-</t>
        </is>
      </c>
      <c r="G477" s="6" t="inlineStr"/>
    </row>
    <row r="478">
      <c r="A478" s="6" t="inlineStr">
        <is>
          <t>💥爆炸弹</t>
        </is>
      </c>
      <c r="B478" s="6" t="n">
        <v>29</v>
      </c>
      <c r="C478" s="7" t="inlineStr">
        <is>
          <t>爆炸半径 +20；AOE伤害 = 单发×(0.3+0.1×等级)</t>
        </is>
      </c>
      <c r="D478" s="6">
        <f>(40+20*B478)*IF(B478&gt;=5,1.5,1)</f>
        <v/>
      </c>
      <c r="E478" s="6">
        <f>Config!I10*(0.3+0.1*B478)*IF(B478&gt;=5,1.5,1)</f>
        <v/>
      </c>
      <c r="F478" s="6" t="inlineStr">
        <is>
          <t>-</t>
        </is>
      </c>
      <c r="G478" s="6" t="inlineStr"/>
    </row>
    <row r="479">
      <c r="A479" s="6" t="inlineStr">
        <is>
          <t>💥爆炸弹</t>
        </is>
      </c>
      <c r="B479" s="6" t="n">
        <v>30</v>
      </c>
      <c r="C479" s="7" t="inlineStr">
        <is>
          <t>爆炸半径 +20；AOE伤害 = 单发×(0.3+0.1×等级)</t>
        </is>
      </c>
      <c r="D479" s="6">
        <f>(40+20*B479)*IF(B479&gt;=5,1.5,1)</f>
        <v/>
      </c>
      <c r="E479" s="6">
        <f>Config!I10*(0.3+0.1*B479)*IF(B479&gt;=5,1.5,1)</f>
        <v/>
      </c>
      <c r="F479" s="6" t="inlineStr">
        <is>
          <t>-</t>
        </is>
      </c>
      <c r="G479" s="6" t="inlineStr"/>
    </row>
    <row r="480">
      <c r="A480" s="6" t="inlineStr">
        <is>
          <t>💥爆炸弹</t>
        </is>
      </c>
      <c r="B480" s="6" t="n">
        <v>31</v>
      </c>
      <c r="C480" s="7" t="inlineStr">
        <is>
          <t>爆炸半径 +20；AOE伤害 = 单发×(0.3+0.1×等级)</t>
        </is>
      </c>
      <c r="D480" s="6">
        <f>(40+20*B480)*IF(B480&gt;=5,1.5,1)</f>
        <v/>
      </c>
      <c r="E480" s="6">
        <f>Config!I10*(0.3+0.1*B480)*IF(B480&gt;=5,1.5,1)</f>
        <v/>
      </c>
      <c r="F480" s="6" t="inlineStr">
        <is>
          <t>-</t>
        </is>
      </c>
      <c r="G480" s="6" t="inlineStr"/>
    </row>
    <row r="481">
      <c r="A481" s="6" t="inlineStr">
        <is>
          <t>💥爆炸弹</t>
        </is>
      </c>
      <c r="B481" s="6" t="n">
        <v>32</v>
      </c>
      <c r="C481" s="7" t="inlineStr">
        <is>
          <t>爆炸半径 +20；AOE伤害 = 单发×(0.3+0.1×等级)</t>
        </is>
      </c>
      <c r="D481" s="6">
        <f>(40+20*B481)*IF(B481&gt;=5,1.5,1)</f>
        <v/>
      </c>
      <c r="E481" s="6">
        <f>Config!I10*(0.3+0.1*B481)*IF(B481&gt;=5,1.5,1)</f>
        <v/>
      </c>
      <c r="F481" s="6" t="inlineStr">
        <is>
          <t>-</t>
        </is>
      </c>
      <c r="G481" s="6" t="inlineStr"/>
    </row>
    <row r="482">
      <c r="A482" s="6" t="inlineStr">
        <is>
          <t>💥爆炸弹</t>
        </is>
      </c>
      <c r="B482" s="6" t="n">
        <v>33</v>
      </c>
      <c r="C482" s="7" t="inlineStr">
        <is>
          <t>爆炸半径 +20；AOE伤害 = 单发×(0.3+0.1×等级)</t>
        </is>
      </c>
      <c r="D482" s="6">
        <f>(40+20*B482)*IF(B482&gt;=5,1.5,1)</f>
        <v/>
      </c>
      <c r="E482" s="6">
        <f>Config!I10*(0.3+0.1*B482)*IF(B482&gt;=5,1.5,1)</f>
        <v/>
      </c>
      <c r="F482" s="6" t="inlineStr">
        <is>
          <t>-</t>
        </is>
      </c>
      <c r="G482" s="6" t="inlineStr"/>
    </row>
    <row r="483">
      <c r="A483" s="6" t="inlineStr">
        <is>
          <t>💥爆炸弹</t>
        </is>
      </c>
      <c r="B483" s="6" t="n">
        <v>34</v>
      </c>
      <c r="C483" s="7" t="inlineStr">
        <is>
          <t>爆炸半径 +20；AOE伤害 = 单发×(0.3+0.1×等级)</t>
        </is>
      </c>
      <c r="D483" s="6">
        <f>(40+20*B483)*IF(B483&gt;=5,1.5,1)</f>
        <v/>
      </c>
      <c r="E483" s="6">
        <f>Config!I10*(0.3+0.1*B483)*IF(B483&gt;=5,1.5,1)</f>
        <v/>
      </c>
      <c r="F483" s="6" t="inlineStr">
        <is>
          <t>-</t>
        </is>
      </c>
      <c r="G483" s="6" t="inlineStr"/>
    </row>
    <row r="484">
      <c r="A484" s="6" t="inlineStr">
        <is>
          <t>💥爆炸弹</t>
        </is>
      </c>
      <c r="B484" s="6" t="n">
        <v>35</v>
      </c>
      <c r="C484" s="7" t="inlineStr">
        <is>
          <t>爆炸半径 +20；AOE伤害 = 单发×(0.3+0.1×等级)</t>
        </is>
      </c>
      <c r="D484" s="6">
        <f>(40+20*B484)*IF(B484&gt;=5,1.5,1)</f>
        <v/>
      </c>
      <c r="E484" s="6">
        <f>Config!I10*(0.3+0.1*B484)*IF(B484&gt;=5,1.5,1)</f>
        <v/>
      </c>
      <c r="F484" s="6" t="inlineStr">
        <is>
          <t>-</t>
        </is>
      </c>
      <c r="G484" s="6" t="inlineStr"/>
    </row>
    <row r="485">
      <c r="A485" s="6" t="inlineStr">
        <is>
          <t>💥爆炸弹</t>
        </is>
      </c>
      <c r="B485" s="6" t="n">
        <v>36</v>
      </c>
      <c r="C485" s="7" t="inlineStr">
        <is>
          <t>爆炸半径 +20；AOE伤害 = 单发×(0.3+0.1×等级)</t>
        </is>
      </c>
      <c r="D485" s="6">
        <f>(40+20*B485)*IF(B485&gt;=5,1.5,1)</f>
        <v/>
      </c>
      <c r="E485" s="6">
        <f>Config!I10*(0.3+0.1*B485)*IF(B485&gt;=5,1.5,1)</f>
        <v/>
      </c>
      <c r="F485" s="6" t="inlineStr">
        <is>
          <t>-</t>
        </is>
      </c>
      <c r="G485" s="6" t="inlineStr"/>
    </row>
    <row r="486">
      <c r="A486" s="6" t="inlineStr">
        <is>
          <t>💥爆炸弹</t>
        </is>
      </c>
      <c r="B486" s="6" t="n">
        <v>37</v>
      </c>
      <c r="C486" s="7" t="inlineStr">
        <is>
          <t>爆炸半径 +20；AOE伤害 = 单发×(0.3+0.1×等级)</t>
        </is>
      </c>
      <c r="D486" s="6">
        <f>(40+20*B486)*IF(B486&gt;=5,1.5,1)</f>
        <v/>
      </c>
      <c r="E486" s="6">
        <f>Config!I10*(0.3+0.1*B486)*IF(B486&gt;=5,1.5,1)</f>
        <v/>
      </c>
      <c r="F486" s="6" t="inlineStr">
        <is>
          <t>-</t>
        </is>
      </c>
      <c r="G486" s="6" t="inlineStr"/>
    </row>
    <row r="487">
      <c r="A487" s="6" t="inlineStr">
        <is>
          <t>💥爆炸弹</t>
        </is>
      </c>
      <c r="B487" s="6" t="n">
        <v>38</v>
      </c>
      <c r="C487" s="7" t="inlineStr">
        <is>
          <t>爆炸半径 +20；AOE伤害 = 单发×(0.3+0.1×等级)</t>
        </is>
      </c>
      <c r="D487" s="6">
        <f>(40+20*B487)*IF(B487&gt;=5,1.5,1)</f>
        <v/>
      </c>
      <c r="E487" s="6">
        <f>Config!I10*(0.3+0.1*B487)*IF(B487&gt;=5,1.5,1)</f>
        <v/>
      </c>
      <c r="F487" s="6" t="inlineStr">
        <is>
          <t>-</t>
        </is>
      </c>
      <c r="G487" s="6" t="inlineStr"/>
    </row>
    <row r="488">
      <c r="A488" s="6" t="inlineStr">
        <is>
          <t>💥爆炸弹</t>
        </is>
      </c>
      <c r="B488" s="6" t="n">
        <v>39</v>
      </c>
      <c r="C488" s="7" t="inlineStr">
        <is>
          <t>爆炸半径 +20；AOE伤害 = 单发×(0.3+0.1×等级)</t>
        </is>
      </c>
      <c r="D488" s="6">
        <f>(40+20*B488)*IF(B488&gt;=5,1.5,1)</f>
        <v/>
      </c>
      <c r="E488" s="6">
        <f>Config!I10*(0.3+0.1*B488)*IF(B488&gt;=5,1.5,1)</f>
        <v/>
      </c>
      <c r="F488" s="6" t="inlineStr">
        <is>
          <t>-</t>
        </is>
      </c>
      <c r="G488" s="6" t="inlineStr"/>
    </row>
    <row r="489">
      <c r="A489" s="6" t="inlineStr">
        <is>
          <t>💥爆炸弹</t>
        </is>
      </c>
      <c r="B489" s="6" t="n">
        <v>40</v>
      </c>
      <c r="C489" s="7" t="inlineStr">
        <is>
          <t>爆炸半径 +20；AOE伤害 = 单发×(0.3+0.1×等级)</t>
        </is>
      </c>
      <c r="D489" s="6">
        <f>(40+20*B489)*IF(B489&gt;=5,1.5,1)</f>
        <v/>
      </c>
      <c r="E489" s="6">
        <f>Config!I10*(0.3+0.1*B489)*IF(B489&gt;=5,1.5,1)</f>
        <v/>
      </c>
      <c r="F489" s="6" t="inlineStr">
        <is>
          <t>-</t>
        </is>
      </c>
      <c r="G489" s="6" t="inlineStr"/>
    </row>
    <row r="490">
      <c r="A490" s="6" t="inlineStr">
        <is>
          <t>💥爆炸弹</t>
        </is>
      </c>
      <c r="B490" s="6" t="n">
        <v>41</v>
      </c>
      <c r="C490" s="7" t="inlineStr">
        <is>
          <t>爆炸半径 +20；AOE伤害 = 单发×(0.3+0.1×等级)</t>
        </is>
      </c>
      <c r="D490" s="6">
        <f>(40+20*B490)*IF(B490&gt;=5,1.5,1)</f>
        <v/>
      </c>
      <c r="E490" s="6">
        <f>Config!I10*(0.3+0.1*B490)*IF(B490&gt;=5,1.5,1)</f>
        <v/>
      </c>
      <c r="F490" s="6" t="inlineStr">
        <is>
          <t>-</t>
        </is>
      </c>
      <c r="G490" s="6" t="inlineStr"/>
    </row>
    <row r="491">
      <c r="A491" s="6" t="inlineStr">
        <is>
          <t>💥爆炸弹</t>
        </is>
      </c>
      <c r="B491" s="6" t="n">
        <v>42</v>
      </c>
      <c r="C491" s="7" t="inlineStr">
        <is>
          <t>爆炸半径 +20；AOE伤害 = 单发×(0.3+0.1×等级)</t>
        </is>
      </c>
      <c r="D491" s="6">
        <f>(40+20*B491)*IF(B491&gt;=5,1.5,1)</f>
        <v/>
      </c>
      <c r="E491" s="6">
        <f>Config!I10*(0.3+0.1*B491)*IF(B491&gt;=5,1.5,1)</f>
        <v/>
      </c>
      <c r="F491" s="6" t="inlineStr">
        <is>
          <t>-</t>
        </is>
      </c>
      <c r="G491" s="6" t="inlineStr"/>
    </row>
    <row r="492">
      <c r="A492" s="6" t="inlineStr">
        <is>
          <t>💥爆炸弹</t>
        </is>
      </c>
      <c r="B492" s="6" t="n">
        <v>43</v>
      </c>
      <c r="C492" s="7" t="inlineStr">
        <is>
          <t>爆炸半径 +20；AOE伤害 = 单发×(0.3+0.1×等级)</t>
        </is>
      </c>
      <c r="D492" s="6">
        <f>(40+20*B492)*IF(B492&gt;=5,1.5,1)</f>
        <v/>
      </c>
      <c r="E492" s="6">
        <f>Config!I10*(0.3+0.1*B492)*IF(B492&gt;=5,1.5,1)</f>
        <v/>
      </c>
      <c r="F492" s="6" t="inlineStr">
        <is>
          <t>-</t>
        </is>
      </c>
      <c r="G492" s="6" t="inlineStr"/>
    </row>
    <row r="493">
      <c r="A493" s="6" t="inlineStr">
        <is>
          <t>💥爆炸弹</t>
        </is>
      </c>
      <c r="B493" s="6" t="n">
        <v>44</v>
      </c>
      <c r="C493" s="7" t="inlineStr">
        <is>
          <t>爆炸半径 +20；AOE伤害 = 单发×(0.3+0.1×等级)</t>
        </is>
      </c>
      <c r="D493" s="6">
        <f>(40+20*B493)*IF(B493&gt;=5,1.5,1)</f>
        <v/>
      </c>
      <c r="E493" s="6">
        <f>Config!I10*(0.3+0.1*B493)*IF(B493&gt;=5,1.5,1)</f>
        <v/>
      </c>
      <c r="F493" s="6" t="inlineStr">
        <is>
          <t>-</t>
        </is>
      </c>
      <c r="G493" s="6" t="inlineStr"/>
    </row>
    <row r="494">
      <c r="A494" s="6" t="inlineStr">
        <is>
          <t>💥爆炸弹</t>
        </is>
      </c>
      <c r="B494" s="6" t="n">
        <v>45</v>
      </c>
      <c r="C494" s="7" t="inlineStr">
        <is>
          <t>爆炸半径 +20；AOE伤害 = 单发×(0.3+0.1×等级)</t>
        </is>
      </c>
      <c r="D494" s="6">
        <f>(40+20*B494)*IF(B494&gt;=5,1.5,1)</f>
        <v/>
      </c>
      <c r="E494" s="6">
        <f>Config!I10*(0.3+0.1*B494)*IF(B494&gt;=5,1.5,1)</f>
        <v/>
      </c>
      <c r="F494" s="6" t="inlineStr">
        <is>
          <t>-</t>
        </is>
      </c>
      <c r="G494" s="6" t="inlineStr"/>
    </row>
    <row r="495">
      <c r="A495" s="6" t="inlineStr">
        <is>
          <t>💥爆炸弹</t>
        </is>
      </c>
      <c r="B495" s="6" t="n">
        <v>46</v>
      </c>
      <c r="C495" s="7" t="inlineStr">
        <is>
          <t>爆炸半径 +20；AOE伤害 = 单发×(0.3+0.1×等级)</t>
        </is>
      </c>
      <c r="D495" s="6">
        <f>(40+20*B495)*IF(B495&gt;=5,1.5,1)</f>
        <v/>
      </c>
      <c r="E495" s="6">
        <f>Config!I10*(0.3+0.1*B495)*IF(B495&gt;=5,1.5,1)</f>
        <v/>
      </c>
      <c r="F495" s="6" t="inlineStr">
        <is>
          <t>-</t>
        </is>
      </c>
      <c r="G495" s="6" t="inlineStr"/>
    </row>
    <row r="496">
      <c r="A496" s="6" t="inlineStr">
        <is>
          <t>💥爆炸弹</t>
        </is>
      </c>
      <c r="B496" s="6" t="n">
        <v>47</v>
      </c>
      <c r="C496" s="7" t="inlineStr">
        <is>
          <t>爆炸半径 +20；AOE伤害 = 单发×(0.3+0.1×等级)</t>
        </is>
      </c>
      <c r="D496" s="6">
        <f>(40+20*B496)*IF(B496&gt;=5,1.5,1)</f>
        <v/>
      </c>
      <c r="E496" s="6">
        <f>Config!I10*(0.3+0.1*B496)*IF(B496&gt;=5,1.5,1)</f>
        <v/>
      </c>
      <c r="F496" s="6" t="inlineStr">
        <is>
          <t>-</t>
        </is>
      </c>
      <c r="G496" s="6" t="inlineStr"/>
    </row>
    <row r="497">
      <c r="A497" s="6" t="inlineStr">
        <is>
          <t>💥爆炸弹</t>
        </is>
      </c>
      <c r="B497" s="6" t="n">
        <v>48</v>
      </c>
      <c r="C497" s="7" t="inlineStr">
        <is>
          <t>爆炸半径 +20；AOE伤害 = 单发×(0.3+0.1×等级)</t>
        </is>
      </c>
      <c r="D497" s="6">
        <f>(40+20*B497)*IF(B497&gt;=5,1.5,1)</f>
        <v/>
      </c>
      <c r="E497" s="6">
        <f>Config!I10*(0.3+0.1*B497)*IF(B497&gt;=5,1.5,1)</f>
        <v/>
      </c>
      <c r="F497" s="6" t="inlineStr">
        <is>
          <t>-</t>
        </is>
      </c>
      <c r="G497" s="6" t="inlineStr"/>
    </row>
    <row r="498">
      <c r="A498" s="6" t="inlineStr">
        <is>
          <t>💥爆炸弹</t>
        </is>
      </c>
      <c r="B498" s="6" t="n">
        <v>49</v>
      </c>
      <c r="C498" s="7" t="inlineStr">
        <is>
          <t>爆炸半径 +20；AOE伤害 = 单发×(0.3+0.1×等级)</t>
        </is>
      </c>
      <c r="D498" s="6">
        <f>(40+20*B498)*IF(B498&gt;=5,1.5,1)</f>
        <v/>
      </c>
      <c r="E498" s="6">
        <f>Config!I10*(0.3+0.1*B498)*IF(B498&gt;=5,1.5,1)</f>
        <v/>
      </c>
      <c r="F498" s="6" t="inlineStr">
        <is>
          <t>-</t>
        </is>
      </c>
      <c r="G498" s="6" t="inlineStr"/>
    </row>
    <row r="499">
      <c r="A499" s="6" t="inlineStr">
        <is>
          <t>💥爆炸弹</t>
        </is>
      </c>
      <c r="B499" s="6" t="n">
        <v>50</v>
      </c>
      <c r="C499" s="7" t="inlineStr">
        <is>
          <t>爆炸半径 +20；AOE伤害 = 单发×(0.3+0.1×等级)</t>
        </is>
      </c>
      <c r="D499" s="6">
        <f>(40+20*B499)*IF(B499&gt;=5,1.5,1)</f>
        <v/>
      </c>
      <c r="E499" s="6">
        <f>Config!I10*(0.3+0.1*B499)*IF(B499&gt;=5,1.5,1)</f>
        <v/>
      </c>
      <c r="F499" s="6" t="inlineStr">
        <is>
          <t>-</t>
        </is>
      </c>
      <c r="G499" s="6" t="inlineStr"/>
    </row>
    <row r="500">
      <c r="A500" s="6" t="inlineStr">
        <is>
          <t>💥爆炸弹</t>
        </is>
      </c>
      <c r="B500" s="6" t="n">
        <v>51</v>
      </c>
      <c r="C500" s="7" t="inlineStr">
        <is>
          <t>爆炸半径 +20；AOE伤害 = 单发×(0.3+0.1×等级)</t>
        </is>
      </c>
      <c r="D500" s="6">
        <f>(40+20*B500)*IF(B500&gt;=5,1.5,1)</f>
        <v/>
      </c>
      <c r="E500" s="6">
        <f>Config!I10*(0.3+0.1*B500)*IF(B500&gt;=5,1.5,1)</f>
        <v/>
      </c>
      <c r="F500" s="6" t="inlineStr">
        <is>
          <t>-</t>
        </is>
      </c>
      <c r="G500" s="6" t="inlineStr"/>
    </row>
    <row r="501">
      <c r="A501" s="6" t="inlineStr">
        <is>
          <t>💥爆炸弹</t>
        </is>
      </c>
      <c r="B501" s="6" t="n">
        <v>52</v>
      </c>
      <c r="C501" s="7" t="inlineStr">
        <is>
          <t>爆炸半径 +20；AOE伤害 = 单发×(0.3+0.1×等级)</t>
        </is>
      </c>
      <c r="D501" s="6">
        <f>(40+20*B501)*IF(B501&gt;=5,1.5,1)</f>
        <v/>
      </c>
      <c r="E501" s="6">
        <f>Config!I10*(0.3+0.1*B501)*IF(B501&gt;=5,1.5,1)</f>
        <v/>
      </c>
      <c r="F501" s="6" t="inlineStr">
        <is>
          <t>-</t>
        </is>
      </c>
      <c r="G501" s="6" t="inlineStr"/>
    </row>
    <row r="502">
      <c r="A502" s="6" t="inlineStr">
        <is>
          <t>💥爆炸弹</t>
        </is>
      </c>
      <c r="B502" s="6" t="n">
        <v>53</v>
      </c>
      <c r="C502" s="7" t="inlineStr">
        <is>
          <t>爆炸半径 +20；AOE伤害 = 单发×(0.3+0.1×等级)</t>
        </is>
      </c>
      <c r="D502" s="6">
        <f>(40+20*B502)*IF(B502&gt;=5,1.5,1)</f>
        <v/>
      </c>
      <c r="E502" s="6">
        <f>Config!I10*(0.3+0.1*B502)*IF(B502&gt;=5,1.5,1)</f>
        <v/>
      </c>
      <c r="F502" s="6" t="inlineStr">
        <is>
          <t>-</t>
        </is>
      </c>
      <c r="G502" s="6" t="inlineStr"/>
    </row>
    <row r="503">
      <c r="A503" s="6" t="inlineStr">
        <is>
          <t>💥爆炸弹</t>
        </is>
      </c>
      <c r="B503" s="6" t="n">
        <v>54</v>
      </c>
      <c r="C503" s="7" t="inlineStr">
        <is>
          <t>爆炸半径 +20；AOE伤害 = 单发×(0.3+0.1×等级)</t>
        </is>
      </c>
      <c r="D503" s="6">
        <f>(40+20*B503)*IF(B503&gt;=5,1.5,1)</f>
        <v/>
      </c>
      <c r="E503" s="6">
        <f>Config!I10*(0.3+0.1*B503)*IF(B503&gt;=5,1.5,1)</f>
        <v/>
      </c>
      <c r="F503" s="6" t="inlineStr">
        <is>
          <t>-</t>
        </is>
      </c>
      <c r="G503" s="6" t="inlineStr"/>
    </row>
    <row r="504">
      <c r="A504" s="6" t="inlineStr">
        <is>
          <t>💥爆炸弹</t>
        </is>
      </c>
      <c r="B504" s="6" t="n">
        <v>55</v>
      </c>
      <c r="C504" s="7" t="inlineStr">
        <is>
          <t>爆炸半径 +20；AOE伤害 = 单发×(0.3+0.1×等级)</t>
        </is>
      </c>
      <c r="D504" s="6">
        <f>(40+20*B504)*IF(B504&gt;=5,1.5,1)</f>
        <v/>
      </c>
      <c r="E504" s="6">
        <f>Config!I10*(0.3+0.1*B504)*IF(B504&gt;=5,1.5,1)</f>
        <v/>
      </c>
      <c r="F504" s="6" t="inlineStr">
        <is>
          <t>-</t>
        </is>
      </c>
      <c r="G504" s="6" t="inlineStr"/>
    </row>
    <row r="505">
      <c r="A505" s="6" t="inlineStr">
        <is>
          <t>💥爆炸弹</t>
        </is>
      </c>
      <c r="B505" s="6" t="n">
        <v>56</v>
      </c>
      <c r="C505" s="7" t="inlineStr">
        <is>
          <t>爆炸半径 +20；AOE伤害 = 单发×(0.3+0.1×等级)</t>
        </is>
      </c>
      <c r="D505" s="6">
        <f>(40+20*B505)*IF(B505&gt;=5,1.5,1)</f>
        <v/>
      </c>
      <c r="E505" s="6">
        <f>Config!I10*(0.3+0.1*B505)*IF(B505&gt;=5,1.5,1)</f>
        <v/>
      </c>
      <c r="F505" s="6" t="inlineStr">
        <is>
          <t>-</t>
        </is>
      </c>
      <c r="G505" s="6" t="inlineStr"/>
    </row>
    <row r="506">
      <c r="A506" s="6" t="inlineStr">
        <is>
          <t>💥爆炸弹</t>
        </is>
      </c>
      <c r="B506" s="6" t="n">
        <v>57</v>
      </c>
      <c r="C506" s="7" t="inlineStr">
        <is>
          <t>爆炸半径 +20；AOE伤害 = 单发×(0.3+0.1×等级)</t>
        </is>
      </c>
      <c r="D506" s="6">
        <f>(40+20*B506)*IF(B506&gt;=5,1.5,1)</f>
        <v/>
      </c>
      <c r="E506" s="6">
        <f>Config!I10*(0.3+0.1*B506)*IF(B506&gt;=5,1.5,1)</f>
        <v/>
      </c>
      <c r="F506" s="6" t="inlineStr">
        <is>
          <t>-</t>
        </is>
      </c>
      <c r="G506" s="6" t="inlineStr"/>
    </row>
    <row r="507">
      <c r="A507" s="6" t="inlineStr">
        <is>
          <t>💥爆炸弹</t>
        </is>
      </c>
      <c r="B507" s="6" t="n">
        <v>58</v>
      </c>
      <c r="C507" s="7" t="inlineStr">
        <is>
          <t>爆炸半径 +20；AOE伤害 = 单发×(0.3+0.1×等级)</t>
        </is>
      </c>
      <c r="D507" s="6">
        <f>(40+20*B507)*IF(B507&gt;=5,1.5,1)</f>
        <v/>
      </c>
      <c r="E507" s="6">
        <f>Config!I10*(0.3+0.1*B507)*IF(B507&gt;=5,1.5,1)</f>
        <v/>
      </c>
      <c r="F507" s="6" t="inlineStr">
        <is>
          <t>-</t>
        </is>
      </c>
      <c r="G507" s="6" t="inlineStr"/>
    </row>
    <row r="508">
      <c r="A508" s="6" t="inlineStr">
        <is>
          <t>💥爆炸弹</t>
        </is>
      </c>
      <c r="B508" s="6" t="n">
        <v>59</v>
      </c>
      <c r="C508" s="7" t="inlineStr">
        <is>
          <t>爆炸半径 +20；AOE伤害 = 单发×(0.3+0.1×等级)</t>
        </is>
      </c>
      <c r="D508" s="6">
        <f>(40+20*B508)*IF(B508&gt;=5,1.5,1)</f>
        <v/>
      </c>
      <c r="E508" s="6">
        <f>Config!I10*(0.3+0.1*B508)*IF(B508&gt;=5,1.5,1)</f>
        <v/>
      </c>
      <c r="F508" s="6" t="inlineStr">
        <is>
          <t>-</t>
        </is>
      </c>
      <c r="G508" s="6" t="inlineStr"/>
    </row>
    <row r="509">
      <c r="A509" s="6" t="inlineStr">
        <is>
          <t>💥爆炸弹</t>
        </is>
      </c>
      <c r="B509" s="6" t="n">
        <v>60</v>
      </c>
      <c r="C509" s="7" t="inlineStr">
        <is>
          <t>爆炸半径 +20；AOE伤害 = 单发×(0.3+0.1×等级)</t>
        </is>
      </c>
      <c r="D509" s="6">
        <f>(40+20*B509)*IF(B509&gt;=5,1.5,1)</f>
        <v/>
      </c>
      <c r="E509" s="6">
        <f>Config!I10*(0.3+0.1*B509)*IF(B509&gt;=5,1.5,1)</f>
        <v/>
      </c>
      <c r="F509" s="6" t="inlineStr">
        <is>
          <t>-</t>
        </is>
      </c>
      <c r="G509" s="6" t="inlineStr"/>
    </row>
    <row r="510">
      <c r="A510" s="6" t="inlineStr">
        <is>
          <t>💥爆炸弹</t>
        </is>
      </c>
      <c r="B510" s="6" t="n">
        <v>61</v>
      </c>
      <c r="C510" s="7" t="inlineStr">
        <is>
          <t>爆炸半径 +20；AOE伤害 = 单发×(0.3+0.1×等级)</t>
        </is>
      </c>
      <c r="D510" s="6">
        <f>(40+20*B510)*IF(B510&gt;=5,1.5,1)</f>
        <v/>
      </c>
      <c r="E510" s="6">
        <f>Config!I10*(0.3+0.1*B510)*IF(B510&gt;=5,1.5,1)</f>
        <v/>
      </c>
      <c r="F510" s="6" t="inlineStr">
        <is>
          <t>-</t>
        </is>
      </c>
      <c r="G510" s="6" t="inlineStr"/>
    </row>
    <row r="511">
      <c r="A511" s="6" t="inlineStr">
        <is>
          <t>💥爆炸弹</t>
        </is>
      </c>
      <c r="B511" s="6" t="n">
        <v>62</v>
      </c>
      <c r="C511" s="7" t="inlineStr">
        <is>
          <t>爆炸半径 +20；AOE伤害 = 单发×(0.3+0.1×等级)</t>
        </is>
      </c>
      <c r="D511" s="6">
        <f>(40+20*B511)*IF(B511&gt;=5,1.5,1)</f>
        <v/>
      </c>
      <c r="E511" s="6">
        <f>Config!I10*(0.3+0.1*B511)*IF(B511&gt;=5,1.5,1)</f>
        <v/>
      </c>
      <c r="F511" s="6" t="inlineStr">
        <is>
          <t>-</t>
        </is>
      </c>
      <c r="G511" s="6" t="inlineStr"/>
    </row>
    <row r="512">
      <c r="A512" s="6" t="inlineStr">
        <is>
          <t>💥爆炸弹</t>
        </is>
      </c>
      <c r="B512" s="6" t="n">
        <v>63</v>
      </c>
      <c r="C512" s="7" t="inlineStr">
        <is>
          <t>爆炸半径 +20；AOE伤害 = 单发×(0.3+0.1×等级)</t>
        </is>
      </c>
      <c r="D512" s="6">
        <f>(40+20*B512)*IF(B512&gt;=5,1.5,1)</f>
        <v/>
      </c>
      <c r="E512" s="6">
        <f>Config!I10*(0.3+0.1*B512)*IF(B512&gt;=5,1.5,1)</f>
        <v/>
      </c>
      <c r="F512" s="6" t="inlineStr">
        <is>
          <t>-</t>
        </is>
      </c>
      <c r="G512" s="6" t="inlineStr"/>
    </row>
    <row r="513">
      <c r="A513" s="6" t="inlineStr">
        <is>
          <t>💥爆炸弹</t>
        </is>
      </c>
      <c r="B513" s="6" t="n">
        <v>64</v>
      </c>
      <c r="C513" s="7" t="inlineStr">
        <is>
          <t>爆炸半径 +20；AOE伤害 = 单发×(0.3+0.1×等级)</t>
        </is>
      </c>
      <c r="D513" s="6">
        <f>(40+20*B513)*IF(B513&gt;=5,1.5,1)</f>
        <v/>
      </c>
      <c r="E513" s="6">
        <f>Config!I10*(0.3+0.1*B513)*IF(B513&gt;=5,1.5,1)</f>
        <v/>
      </c>
      <c r="F513" s="6" t="inlineStr">
        <is>
          <t>-</t>
        </is>
      </c>
      <c r="G513" s="6" t="inlineStr"/>
    </row>
    <row r="514">
      <c r="A514" s="6" t="inlineStr">
        <is>
          <t>💥爆炸弹</t>
        </is>
      </c>
      <c r="B514" s="6" t="n">
        <v>65</v>
      </c>
      <c r="C514" s="7" t="inlineStr">
        <is>
          <t>爆炸半径 +20；AOE伤害 = 单发×(0.3+0.1×等级)</t>
        </is>
      </c>
      <c r="D514" s="6">
        <f>(40+20*B514)*IF(B514&gt;=5,1.5,1)</f>
        <v/>
      </c>
      <c r="E514" s="6">
        <f>Config!I10*(0.3+0.1*B514)*IF(B514&gt;=5,1.5,1)</f>
        <v/>
      </c>
      <c r="F514" s="6" t="inlineStr">
        <is>
          <t>-</t>
        </is>
      </c>
      <c r="G514" s="6" t="inlineStr"/>
    </row>
    <row r="515">
      <c r="A515" s="6" t="inlineStr">
        <is>
          <t>💥爆炸弹</t>
        </is>
      </c>
      <c r="B515" s="6" t="n">
        <v>66</v>
      </c>
      <c r="C515" s="7" t="inlineStr">
        <is>
          <t>爆炸半径 +20；AOE伤害 = 单发×(0.3+0.1×等级)</t>
        </is>
      </c>
      <c r="D515" s="6">
        <f>(40+20*B515)*IF(B515&gt;=5,1.5,1)</f>
        <v/>
      </c>
      <c r="E515" s="6">
        <f>Config!I10*(0.3+0.1*B515)*IF(B515&gt;=5,1.5,1)</f>
        <v/>
      </c>
      <c r="F515" s="6" t="inlineStr">
        <is>
          <t>-</t>
        </is>
      </c>
      <c r="G515" s="6" t="inlineStr"/>
    </row>
    <row r="516">
      <c r="A516" s="6" t="inlineStr">
        <is>
          <t>💥爆炸弹</t>
        </is>
      </c>
      <c r="B516" s="6" t="n">
        <v>67</v>
      </c>
      <c r="C516" s="7" t="inlineStr">
        <is>
          <t>爆炸半径 +20；AOE伤害 = 单发×(0.3+0.1×等级)</t>
        </is>
      </c>
      <c r="D516" s="6">
        <f>(40+20*B516)*IF(B516&gt;=5,1.5,1)</f>
        <v/>
      </c>
      <c r="E516" s="6">
        <f>Config!I10*(0.3+0.1*B516)*IF(B516&gt;=5,1.5,1)</f>
        <v/>
      </c>
      <c r="F516" s="6" t="inlineStr">
        <is>
          <t>-</t>
        </is>
      </c>
      <c r="G516" s="6" t="inlineStr"/>
    </row>
    <row r="517">
      <c r="A517" s="6" t="inlineStr">
        <is>
          <t>💥爆炸弹</t>
        </is>
      </c>
      <c r="B517" s="6" t="n">
        <v>68</v>
      </c>
      <c r="C517" s="7" t="inlineStr">
        <is>
          <t>爆炸半径 +20；AOE伤害 = 单发×(0.3+0.1×等级)</t>
        </is>
      </c>
      <c r="D517" s="6">
        <f>(40+20*B517)*IF(B517&gt;=5,1.5,1)</f>
        <v/>
      </c>
      <c r="E517" s="6">
        <f>Config!I10*(0.3+0.1*B517)*IF(B517&gt;=5,1.5,1)</f>
        <v/>
      </c>
      <c r="F517" s="6" t="inlineStr">
        <is>
          <t>-</t>
        </is>
      </c>
      <c r="G517" s="6" t="inlineStr"/>
    </row>
    <row r="518">
      <c r="A518" s="6" t="inlineStr">
        <is>
          <t>💥爆炸弹</t>
        </is>
      </c>
      <c r="B518" s="6" t="n">
        <v>69</v>
      </c>
      <c r="C518" s="7" t="inlineStr">
        <is>
          <t>爆炸半径 +20；AOE伤害 = 单发×(0.3+0.1×等级)</t>
        </is>
      </c>
      <c r="D518" s="6">
        <f>(40+20*B518)*IF(B518&gt;=5,1.5,1)</f>
        <v/>
      </c>
      <c r="E518" s="6">
        <f>Config!I10*(0.3+0.1*B518)*IF(B518&gt;=5,1.5,1)</f>
        <v/>
      </c>
      <c r="F518" s="6" t="inlineStr">
        <is>
          <t>-</t>
        </is>
      </c>
      <c r="G518" s="6" t="inlineStr"/>
    </row>
    <row r="519">
      <c r="A519" s="6" t="inlineStr">
        <is>
          <t>💥爆炸弹</t>
        </is>
      </c>
      <c r="B519" s="6" t="n">
        <v>70</v>
      </c>
      <c r="C519" s="7" t="inlineStr">
        <is>
          <t>爆炸半径 +20；AOE伤害 = 单发×(0.3+0.1×等级)</t>
        </is>
      </c>
      <c r="D519" s="6">
        <f>(40+20*B519)*IF(B519&gt;=5,1.5,1)</f>
        <v/>
      </c>
      <c r="E519" s="6">
        <f>Config!I10*(0.3+0.1*B519)*IF(B519&gt;=5,1.5,1)</f>
        <v/>
      </c>
      <c r="F519" s="6" t="inlineStr">
        <is>
          <t>-</t>
        </is>
      </c>
      <c r="G519" s="6" t="inlineStr"/>
    </row>
    <row r="520">
      <c r="A520" s="6" t="inlineStr">
        <is>
          <t>💥爆炸弹</t>
        </is>
      </c>
      <c r="B520" s="6" t="n">
        <v>71</v>
      </c>
      <c r="C520" s="7" t="inlineStr">
        <is>
          <t>爆炸半径 +20；AOE伤害 = 单发×(0.3+0.1×等级)</t>
        </is>
      </c>
      <c r="D520" s="6">
        <f>(40+20*B520)*IF(B520&gt;=5,1.5,1)</f>
        <v/>
      </c>
      <c r="E520" s="6">
        <f>Config!I10*(0.3+0.1*B520)*IF(B520&gt;=5,1.5,1)</f>
        <v/>
      </c>
      <c r="F520" s="6" t="inlineStr">
        <is>
          <t>-</t>
        </is>
      </c>
      <c r="G520" s="6" t="inlineStr"/>
    </row>
    <row r="521">
      <c r="A521" s="6" t="inlineStr">
        <is>
          <t>💥爆炸弹</t>
        </is>
      </c>
      <c r="B521" s="6" t="n">
        <v>72</v>
      </c>
      <c r="C521" s="7" t="inlineStr">
        <is>
          <t>爆炸半径 +20；AOE伤害 = 单发×(0.3+0.1×等级)</t>
        </is>
      </c>
      <c r="D521" s="6">
        <f>(40+20*B521)*IF(B521&gt;=5,1.5,1)</f>
        <v/>
      </c>
      <c r="E521" s="6">
        <f>Config!I10*(0.3+0.1*B521)*IF(B521&gt;=5,1.5,1)</f>
        <v/>
      </c>
      <c r="F521" s="6" t="inlineStr">
        <is>
          <t>-</t>
        </is>
      </c>
      <c r="G521" s="6" t="inlineStr"/>
    </row>
    <row r="522">
      <c r="A522" s="6" t="inlineStr">
        <is>
          <t>💥爆炸弹</t>
        </is>
      </c>
      <c r="B522" s="6" t="n">
        <v>73</v>
      </c>
      <c r="C522" s="7" t="inlineStr">
        <is>
          <t>爆炸半径 +20；AOE伤害 = 单发×(0.3+0.1×等级)</t>
        </is>
      </c>
      <c r="D522" s="6">
        <f>(40+20*B522)*IF(B522&gt;=5,1.5,1)</f>
        <v/>
      </c>
      <c r="E522" s="6">
        <f>Config!I10*(0.3+0.1*B522)*IF(B522&gt;=5,1.5,1)</f>
        <v/>
      </c>
      <c r="F522" s="6" t="inlineStr">
        <is>
          <t>-</t>
        </is>
      </c>
      <c r="G522" s="6" t="inlineStr"/>
    </row>
    <row r="523">
      <c r="A523" s="6" t="inlineStr">
        <is>
          <t>💥爆炸弹</t>
        </is>
      </c>
      <c r="B523" s="6" t="n">
        <v>74</v>
      </c>
      <c r="C523" s="7" t="inlineStr">
        <is>
          <t>爆炸半径 +20；AOE伤害 = 单发×(0.3+0.1×等级)</t>
        </is>
      </c>
      <c r="D523" s="6">
        <f>(40+20*B523)*IF(B523&gt;=5,1.5,1)</f>
        <v/>
      </c>
      <c r="E523" s="6">
        <f>Config!I10*(0.3+0.1*B523)*IF(B523&gt;=5,1.5,1)</f>
        <v/>
      </c>
      <c r="F523" s="6" t="inlineStr">
        <is>
          <t>-</t>
        </is>
      </c>
      <c r="G523" s="6" t="inlineStr"/>
    </row>
    <row r="524">
      <c r="A524" s="6" t="inlineStr">
        <is>
          <t>💥爆炸弹</t>
        </is>
      </c>
      <c r="B524" s="6" t="n">
        <v>75</v>
      </c>
      <c r="C524" s="7" t="inlineStr">
        <is>
          <t>爆炸半径 +20；AOE伤害 = 单发×(0.3+0.1×等级)</t>
        </is>
      </c>
      <c r="D524" s="6">
        <f>(40+20*B524)*IF(B524&gt;=5,1.5,1)</f>
        <v/>
      </c>
      <c r="E524" s="6">
        <f>Config!I10*(0.3+0.1*B524)*IF(B524&gt;=5,1.5,1)</f>
        <v/>
      </c>
      <c r="F524" s="6" t="inlineStr">
        <is>
          <t>-</t>
        </is>
      </c>
      <c r="G524" s="6" t="inlineStr"/>
    </row>
    <row r="525">
      <c r="A525" s="6" t="inlineStr">
        <is>
          <t>💥爆炸弹</t>
        </is>
      </c>
      <c r="B525" s="6" t="n">
        <v>76</v>
      </c>
      <c r="C525" s="7" t="inlineStr">
        <is>
          <t>爆炸半径 +20；AOE伤害 = 单发×(0.3+0.1×等级)</t>
        </is>
      </c>
      <c r="D525" s="6">
        <f>(40+20*B525)*IF(B525&gt;=5,1.5,1)</f>
        <v/>
      </c>
      <c r="E525" s="6">
        <f>Config!I10*(0.3+0.1*B525)*IF(B525&gt;=5,1.5,1)</f>
        <v/>
      </c>
      <c r="F525" s="6" t="inlineStr">
        <is>
          <t>-</t>
        </is>
      </c>
      <c r="G525" s="6" t="inlineStr"/>
    </row>
    <row r="526">
      <c r="A526" s="6" t="inlineStr">
        <is>
          <t>💥爆炸弹</t>
        </is>
      </c>
      <c r="B526" s="6" t="n">
        <v>77</v>
      </c>
      <c r="C526" s="7" t="inlineStr">
        <is>
          <t>爆炸半径 +20；AOE伤害 = 单发×(0.3+0.1×等级)</t>
        </is>
      </c>
      <c r="D526" s="6">
        <f>(40+20*B526)*IF(B526&gt;=5,1.5,1)</f>
        <v/>
      </c>
      <c r="E526" s="6">
        <f>Config!I10*(0.3+0.1*B526)*IF(B526&gt;=5,1.5,1)</f>
        <v/>
      </c>
      <c r="F526" s="6" t="inlineStr">
        <is>
          <t>-</t>
        </is>
      </c>
      <c r="G526" s="6" t="inlineStr"/>
    </row>
    <row r="527">
      <c r="A527" s="6" t="inlineStr">
        <is>
          <t>💥爆炸弹</t>
        </is>
      </c>
      <c r="B527" s="6" t="n">
        <v>78</v>
      </c>
      <c r="C527" s="7" t="inlineStr">
        <is>
          <t>爆炸半径 +20；AOE伤害 = 单发×(0.3+0.1×等级)</t>
        </is>
      </c>
      <c r="D527" s="6">
        <f>(40+20*B527)*IF(B527&gt;=5,1.5,1)</f>
        <v/>
      </c>
      <c r="E527" s="6">
        <f>Config!I10*(0.3+0.1*B527)*IF(B527&gt;=5,1.5,1)</f>
        <v/>
      </c>
      <c r="F527" s="6" t="inlineStr">
        <is>
          <t>-</t>
        </is>
      </c>
      <c r="G527" s="6" t="inlineStr"/>
    </row>
    <row r="528">
      <c r="A528" s="6" t="inlineStr">
        <is>
          <t>💥爆炸弹</t>
        </is>
      </c>
      <c r="B528" s="6" t="n">
        <v>79</v>
      </c>
      <c r="C528" s="7" t="inlineStr">
        <is>
          <t>爆炸半径 +20；AOE伤害 = 单发×(0.3+0.1×等级)</t>
        </is>
      </c>
      <c r="D528" s="6">
        <f>(40+20*B528)*IF(B528&gt;=5,1.5,1)</f>
        <v/>
      </c>
      <c r="E528" s="6">
        <f>Config!I10*(0.3+0.1*B528)*IF(B528&gt;=5,1.5,1)</f>
        <v/>
      </c>
      <c r="F528" s="6" t="inlineStr">
        <is>
          <t>-</t>
        </is>
      </c>
      <c r="G528" s="6" t="inlineStr"/>
    </row>
    <row r="529">
      <c r="A529" s="6" t="inlineStr">
        <is>
          <t>💥爆炸弹</t>
        </is>
      </c>
      <c r="B529" s="6" t="n">
        <v>80</v>
      </c>
      <c r="C529" s="7" t="inlineStr">
        <is>
          <t>爆炸半径 +20；AOE伤害 = 单发×(0.3+0.1×等级)</t>
        </is>
      </c>
      <c r="D529" s="6">
        <f>(40+20*B529)*IF(B529&gt;=5,1.5,1)</f>
        <v/>
      </c>
      <c r="E529" s="6">
        <f>Config!I10*(0.3+0.1*B529)*IF(B529&gt;=5,1.5,1)</f>
        <v/>
      </c>
      <c r="F529" s="6" t="inlineStr">
        <is>
          <t>-</t>
        </is>
      </c>
      <c r="G529" s="6" t="inlineStr"/>
    </row>
    <row r="530">
      <c r="A530" s="6" t="inlineStr">
        <is>
          <t>💥爆炸弹</t>
        </is>
      </c>
      <c r="B530" s="6" t="n">
        <v>81</v>
      </c>
      <c r="C530" s="7" t="inlineStr">
        <is>
          <t>爆炸半径 +20；AOE伤害 = 单发×(0.3+0.1×等级)</t>
        </is>
      </c>
      <c r="D530" s="6">
        <f>(40+20*B530)*IF(B530&gt;=5,1.5,1)</f>
        <v/>
      </c>
      <c r="E530" s="6">
        <f>Config!I10*(0.3+0.1*B530)*IF(B530&gt;=5,1.5,1)</f>
        <v/>
      </c>
      <c r="F530" s="6" t="inlineStr">
        <is>
          <t>-</t>
        </is>
      </c>
      <c r="G530" s="6" t="inlineStr"/>
    </row>
    <row r="531">
      <c r="A531" s="6" t="inlineStr">
        <is>
          <t>💥爆炸弹</t>
        </is>
      </c>
      <c r="B531" s="6" t="n">
        <v>82</v>
      </c>
      <c r="C531" s="7" t="inlineStr">
        <is>
          <t>爆炸半径 +20；AOE伤害 = 单发×(0.3+0.1×等级)</t>
        </is>
      </c>
      <c r="D531" s="6">
        <f>(40+20*B531)*IF(B531&gt;=5,1.5,1)</f>
        <v/>
      </c>
      <c r="E531" s="6">
        <f>Config!I10*(0.3+0.1*B531)*IF(B531&gt;=5,1.5,1)</f>
        <v/>
      </c>
      <c r="F531" s="6" t="inlineStr">
        <is>
          <t>-</t>
        </is>
      </c>
      <c r="G531" s="6" t="inlineStr"/>
    </row>
    <row r="532">
      <c r="A532" s="6" t="inlineStr">
        <is>
          <t>💥爆炸弹</t>
        </is>
      </c>
      <c r="B532" s="6" t="n">
        <v>83</v>
      </c>
      <c r="C532" s="7" t="inlineStr">
        <is>
          <t>爆炸半径 +20；AOE伤害 = 单发×(0.3+0.1×等级)</t>
        </is>
      </c>
      <c r="D532" s="6">
        <f>(40+20*B532)*IF(B532&gt;=5,1.5,1)</f>
        <v/>
      </c>
      <c r="E532" s="6">
        <f>Config!I10*(0.3+0.1*B532)*IF(B532&gt;=5,1.5,1)</f>
        <v/>
      </c>
      <c r="F532" s="6" t="inlineStr">
        <is>
          <t>-</t>
        </is>
      </c>
      <c r="G532" s="6" t="inlineStr"/>
    </row>
    <row r="533">
      <c r="A533" s="6" t="inlineStr">
        <is>
          <t>💥爆炸弹</t>
        </is>
      </c>
      <c r="B533" s="6" t="n">
        <v>84</v>
      </c>
      <c r="C533" s="7" t="inlineStr">
        <is>
          <t>爆炸半径 +20；AOE伤害 = 单发×(0.3+0.1×等级)</t>
        </is>
      </c>
      <c r="D533" s="6">
        <f>(40+20*B533)*IF(B533&gt;=5,1.5,1)</f>
        <v/>
      </c>
      <c r="E533" s="6">
        <f>Config!I10*(0.3+0.1*B533)*IF(B533&gt;=5,1.5,1)</f>
        <v/>
      </c>
      <c r="F533" s="6" t="inlineStr">
        <is>
          <t>-</t>
        </is>
      </c>
      <c r="G533" s="6" t="inlineStr"/>
    </row>
    <row r="534">
      <c r="A534" s="6" t="inlineStr">
        <is>
          <t>💥爆炸弹</t>
        </is>
      </c>
      <c r="B534" s="6" t="n">
        <v>85</v>
      </c>
      <c r="C534" s="7" t="inlineStr">
        <is>
          <t>爆炸半径 +20；AOE伤害 = 单发×(0.3+0.1×等级)</t>
        </is>
      </c>
      <c r="D534" s="6">
        <f>(40+20*B534)*IF(B534&gt;=5,1.5,1)</f>
        <v/>
      </c>
      <c r="E534" s="6">
        <f>Config!I10*(0.3+0.1*B534)*IF(B534&gt;=5,1.5,1)</f>
        <v/>
      </c>
      <c r="F534" s="6" t="inlineStr">
        <is>
          <t>-</t>
        </is>
      </c>
      <c r="G534" s="6" t="inlineStr"/>
    </row>
    <row r="535">
      <c r="A535" s="6" t="inlineStr">
        <is>
          <t>💥爆炸弹</t>
        </is>
      </c>
      <c r="B535" s="6" t="n">
        <v>86</v>
      </c>
      <c r="C535" s="7" t="inlineStr">
        <is>
          <t>爆炸半径 +20；AOE伤害 = 单发×(0.3+0.1×等级)</t>
        </is>
      </c>
      <c r="D535" s="6">
        <f>(40+20*B535)*IF(B535&gt;=5,1.5,1)</f>
        <v/>
      </c>
      <c r="E535" s="6">
        <f>Config!I10*(0.3+0.1*B535)*IF(B535&gt;=5,1.5,1)</f>
        <v/>
      </c>
      <c r="F535" s="6" t="inlineStr">
        <is>
          <t>-</t>
        </is>
      </c>
      <c r="G535" s="6" t="inlineStr"/>
    </row>
    <row r="536">
      <c r="A536" s="6" t="inlineStr">
        <is>
          <t>💥爆炸弹</t>
        </is>
      </c>
      <c r="B536" s="6" t="n">
        <v>87</v>
      </c>
      <c r="C536" s="7" t="inlineStr">
        <is>
          <t>爆炸半径 +20；AOE伤害 = 单发×(0.3+0.1×等级)</t>
        </is>
      </c>
      <c r="D536" s="6">
        <f>(40+20*B536)*IF(B536&gt;=5,1.5,1)</f>
        <v/>
      </c>
      <c r="E536" s="6">
        <f>Config!I10*(0.3+0.1*B536)*IF(B536&gt;=5,1.5,1)</f>
        <v/>
      </c>
      <c r="F536" s="6" t="inlineStr">
        <is>
          <t>-</t>
        </is>
      </c>
      <c r="G536" s="6" t="inlineStr"/>
    </row>
    <row r="537">
      <c r="A537" s="6" t="inlineStr">
        <is>
          <t>💥爆炸弹</t>
        </is>
      </c>
      <c r="B537" s="6" t="n">
        <v>88</v>
      </c>
      <c r="C537" s="7" t="inlineStr">
        <is>
          <t>爆炸半径 +20；AOE伤害 = 单发×(0.3+0.1×等级)</t>
        </is>
      </c>
      <c r="D537" s="6">
        <f>(40+20*B537)*IF(B537&gt;=5,1.5,1)</f>
        <v/>
      </c>
      <c r="E537" s="6">
        <f>Config!I10*(0.3+0.1*B537)*IF(B537&gt;=5,1.5,1)</f>
        <v/>
      </c>
      <c r="F537" s="6" t="inlineStr">
        <is>
          <t>-</t>
        </is>
      </c>
      <c r="G537" s="6" t="inlineStr"/>
    </row>
    <row r="538">
      <c r="A538" s="6" t="inlineStr">
        <is>
          <t>💥爆炸弹</t>
        </is>
      </c>
      <c r="B538" s="6" t="n">
        <v>89</v>
      </c>
      <c r="C538" s="7" t="inlineStr">
        <is>
          <t>爆炸半径 +20；AOE伤害 = 单发×(0.3+0.1×等级)</t>
        </is>
      </c>
      <c r="D538" s="6">
        <f>(40+20*B538)*IF(B538&gt;=5,1.5,1)</f>
        <v/>
      </c>
      <c r="E538" s="6">
        <f>Config!I10*(0.3+0.1*B538)*IF(B538&gt;=5,1.5,1)</f>
        <v/>
      </c>
      <c r="F538" s="6" t="inlineStr">
        <is>
          <t>-</t>
        </is>
      </c>
      <c r="G538" s="6" t="inlineStr"/>
    </row>
    <row r="539">
      <c r="A539" s="6" t="inlineStr">
        <is>
          <t>💥爆炸弹</t>
        </is>
      </c>
      <c r="B539" s="6" t="n">
        <v>90</v>
      </c>
      <c r="C539" s="7" t="inlineStr">
        <is>
          <t>爆炸半径 +20；AOE伤害 = 单发×(0.3+0.1×等级)</t>
        </is>
      </c>
      <c r="D539" s="6">
        <f>(40+20*B539)*IF(B539&gt;=5,1.5,1)</f>
        <v/>
      </c>
      <c r="E539" s="6">
        <f>Config!I10*(0.3+0.1*B539)*IF(B539&gt;=5,1.5,1)</f>
        <v/>
      </c>
      <c r="F539" s="6" t="inlineStr">
        <is>
          <t>-</t>
        </is>
      </c>
      <c r="G539" s="6" t="inlineStr"/>
    </row>
    <row r="540">
      <c r="A540" s="6" t="inlineStr">
        <is>
          <t>💥爆炸弹</t>
        </is>
      </c>
      <c r="B540" s="6" t="n">
        <v>91</v>
      </c>
      <c r="C540" s="7" t="inlineStr">
        <is>
          <t>爆炸半径 +20；AOE伤害 = 单发×(0.3+0.1×等级)</t>
        </is>
      </c>
      <c r="D540" s="6">
        <f>(40+20*B540)*IF(B540&gt;=5,1.5,1)</f>
        <v/>
      </c>
      <c r="E540" s="6">
        <f>Config!I10*(0.3+0.1*B540)*IF(B540&gt;=5,1.5,1)</f>
        <v/>
      </c>
      <c r="F540" s="6" t="inlineStr">
        <is>
          <t>-</t>
        </is>
      </c>
      <c r="G540" s="6" t="inlineStr"/>
    </row>
    <row r="541">
      <c r="A541" s="6" t="inlineStr">
        <is>
          <t>💥爆炸弹</t>
        </is>
      </c>
      <c r="B541" s="6" t="n">
        <v>92</v>
      </c>
      <c r="C541" s="7" t="inlineStr">
        <is>
          <t>爆炸半径 +20；AOE伤害 = 单发×(0.3+0.1×等级)</t>
        </is>
      </c>
      <c r="D541" s="6">
        <f>(40+20*B541)*IF(B541&gt;=5,1.5,1)</f>
        <v/>
      </c>
      <c r="E541" s="6">
        <f>Config!I10*(0.3+0.1*B541)*IF(B541&gt;=5,1.5,1)</f>
        <v/>
      </c>
      <c r="F541" s="6" t="inlineStr">
        <is>
          <t>-</t>
        </is>
      </c>
      <c r="G541" s="6" t="inlineStr"/>
    </row>
    <row r="542">
      <c r="A542" s="6" t="inlineStr">
        <is>
          <t>💥爆炸弹</t>
        </is>
      </c>
      <c r="B542" s="6" t="n">
        <v>93</v>
      </c>
      <c r="C542" s="7" t="inlineStr">
        <is>
          <t>爆炸半径 +20；AOE伤害 = 单发×(0.3+0.1×等级)</t>
        </is>
      </c>
      <c r="D542" s="6">
        <f>(40+20*B542)*IF(B542&gt;=5,1.5,1)</f>
        <v/>
      </c>
      <c r="E542" s="6">
        <f>Config!I10*(0.3+0.1*B542)*IF(B542&gt;=5,1.5,1)</f>
        <v/>
      </c>
      <c r="F542" s="6" t="inlineStr">
        <is>
          <t>-</t>
        </is>
      </c>
      <c r="G542" s="6" t="inlineStr"/>
    </row>
    <row r="543">
      <c r="A543" s="6" t="inlineStr">
        <is>
          <t>💥爆炸弹</t>
        </is>
      </c>
      <c r="B543" s="6" t="n">
        <v>94</v>
      </c>
      <c r="C543" s="7" t="inlineStr">
        <is>
          <t>爆炸半径 +20；AOE伤害 = 单发×(0.3+0.1×等级)</t>
        </is>
      </c>
      <c r="D543" s="6">
        <f>(40+20*B543)*IF(B543&gt;=5,1.5,1)</f>
        <v/>
      </c>
      <c r="E543" s="6">
        <f>Config!I10*(0.3+0.1*B543)*IF(B543&gt;=5,1.5,1)</f>
        <v/>
      </c>
      <c r="F543" s="6" t="inlineStr">
        <is>
          <t>-</t>
        </is>
      </c>
      <c r="G543" s="6" t="inlineStr"/>
    </row>
    <row r="544">
      <c r="A544" s="6" t="inlineStr">
        <is>
          <t>💥爆炸弹</t>
        </is>
      </c>
      <c r="B544" s="6" t="n">
        <v>95</v>
      </c>
      <c r="C544" s="7" t="inlineStr">
        <is>
          <t>爆炸半径 +20；AOE伤害 = 单发×(0.3+0.1×等级)</t>
        </is>
      </c>
      <c r="D544" s="6">
        <f>(40+20*B544)*IF(B544&gt;=5,1.5,1)</f>
        <v/>
      </c>
      <c r="E544" s="6">
        <f>Config!I10*(0.3+0.1*B544)*IF(B544&gt;=5,1.5,1)</f>
        <v/>
      </c>
      <c r="F544" s="6" t="inlineStr">
        <is>
          <t>-</t>
        </is>
      </c>
      <c r="G544" s="6" t="inlineStr"/>
    </row>
    <row r="545">
      <c r="A545" s="6" t="inlineStr">
        <is>
          <t>💥爆炸弹</t>
        </is>
      </c>
      <c r="B545" s="6" t="n">
        <v>96</v>
      </c>
      <c r="C545" s="7" t="inlineStr">
        <is>
          <t>爆炸半径 +20；AOE伤害 = 单发×(0.3+0.1×等级)</t>
        </is>
      </c>
      <c r="D545" s="6">
        <f>(40+20*B545)*IF(B545&gt;=5,1.5,1)</f>
        <v/>
      </c>
      <c r="E545" s="6">
        <f>Config!I10*(0.3+0.1*B545)*IF(B545&gt;=5,1.5,1)</f>
        <v/>
      </c>
      <c r="F545" s="6" t="inlineStr">
        <is>
          <t>-</t>
        </is>
      </c>
      <c r="G545" s="6" t="inlineStr"/>
    </row>
    <row r="546">
      <c r="A546" s="6" t="inlineStr">
        <is>
          <t>💥爆炸弹</t>
        </is>
      </c>
      <c r="B546" s="6" t="n">
        <v>97</v>
      </c>
      <c r="C546" s="7" t="inlineStr">
        <is>
          <t>爆炸半径 +20；AOE伤害 = 单发×(0.3+0.1×等级)</t>
        </is>
      </c>
      <c r="D546" s="6">
        <f>(40+20*B546)*IF(B546&gt;=5,1.5,1)</f>
        <v/>
      </c>
      <c r="E546" s="6">
        <f>Config!I10*(0.3+0.1*B546)*IF(B546&gt;=5,1.5,1)</f>
        <v/>
      </c>
      <c r="F546" s="6" t="inlineStr">
        <is>
          <t>-</t>
        </is>
      </c>
      <c r="G546" s="6" t="inlineStr"/>
    </row>
    <row r="547">
      <c r="A547" s="6" t="inlineStr">
        <is>
          <t>💥爆炸弹</t>
        </is>
      </c>
      <c r="B547" s="6" t="n">
        <v>98</v>
      </c>
      <c r="C547" s="7" t="inlineStr">
        <is>
          <t>爆炸半径 +20；AOE伤害 = 单发×(0.3+0.1×等级)</t>
        </is>
      </c>
      <c r="D547" s="6">
        <f>(40+20*B547)*IF(B547&gt;=5,1.5,1)</f>
        <v/>
      </c>
      <c r="E547" s="6">
        <f>Config!I10*(0.3+0.1*B547)*IF(B547&gt;=5,1.5,1)</f>
        <v/>
      </c>
      <c r="F547" s="6" t="inlineStr">
        <is>
          <t>-</t>
        </is>
      </c>
      <c r="G547" s="6" t="inlineStr"/>
    </row>
    <row r="548">
      <c r="A548" s="6" t="inlineStr">
        <is>
          <t>💥爆炸弹</t>
        </is>
      </c>
      <c r="B548" s="6" t="n">
        <v>99</v>
      </c>
      <c r="C548" s="7" t="inlineStr">
        <is>
          <t>爆炸半径 +20；AOE伤害 = 单发×(0.3+0.1×等级)</t>
        </is>
      </c>
      <c r="D548" s="6">
        <f>(40+20*B548)*IF(B548&gt;=5,1.5,1)</f>
        <v/>
      </c>
      <c r="E548" s="6">
        <f>Config!I10*(0.3+0.1*B548)*IF(B548&gt;=5,1.5,1)</f>
        <v/>
      </c>
      <c r="F548" s="6" t="inlineStr">
        <is>
          <t>-</t>
        </is>
      </c>
      <c r="G548" s="6" t="inlineStr"/>
    </row>
    <row r="549">
      <c r="A549" s="6" t="inlineStr">
        <is>
          <t>⚡闪电链</t>
        </is>
      </c>
      <c r="B549" s="6" t="n">
        <v>1</v>
      </c>
      <c r="C549" s="7" t="inlineStr">
        <is>
          <t>闪电链数 +1</t>
        </is>
      </c>
      <c r="D549" s="6">
        <f>B549+1+IF(B549&gt;=3,2,0)</f>
        <v/>
      </c>
      <c r="E549" s="6">
        <f>Config!I11*0.4*IF(B549&gt;=5,1.3,1)</f>
        <v/>
      </c>
      <c r="F549" s="6" t="inlineStr">
        <is>
          <t>-</t>
        </is>
      </c>
      <c r="G549" s="6" t="inlineStr"/>
    </row>
    <row r="550">
      <c r="A550" s="6" t="inlineStr">
        <is>
          <t>⚡闪电链</t>
        </is>
      </c>
      <c r="B550" s="6" t="n">
        <v>2</v>
      </c>
      <c r="C550" s="7" t="inlineStr">
        <is>
          <t>闪电链数 +1</t>
        </is>
      </c>
      <c r="D550" s="6">
        <f>B550+1+IF(B550&gt;=3,2,0)</f>
        <v/>
      </c>
      <c r="E550" s="6">
        <f>Config!I11*0.4*IF(B550&gt;=5,1.3,1)</f>
        <v/>
      </c>
      <c r="F550" s="6" t="inlineStr">
        <is>
          <t>-</t>
        </is>
      </c>
      <c r="G550" s="6" t="inlineStr"/>
    </row>
    <row r="551">
      <c r="A551" s="8" t="inlineStr">
        <is>
          <t>⚡闪电链</t>
        </is>
      </c>
      <c r="B551" s="8" t="n">
        <v>3</v>
      </c>
      <c r="C551" s="9" t="inlineStr">
        <is>
          <t>链目标 +2</t>
        </is>
      </c>
      <c r="D551" s="8">
        <f>B551+1+IF(B551&gt;=3,2,0)</f>
        <v/>
      </c>
      <c r="E551" s="8">
        <f>Config!I11*0.4*IF(B551&gt;=5,1.3,1)</f>
        <v/>
      </c>
      <c r="F551" s="8" t="inlineStr">
        <is>
          <t>-</t>
        </is>
      </c>
      <c r="G551" s="8" t="inlineStr">
        <is>
          <t>★Lv3质变</t>
        </is>
      </c>
    </row>
    <row r="552">
      <c r="A552" s="6" t="inlineStr">
        <is>
          <t>⚡闪电链</t>
        </is>
      </c>
      <c r="B552" s="6" t="n">
        <v>4</v>
      </c>
      <c r="C552" s="7" t="inlineStr">
        <is>
          <t>闪电链数 +1</t>
        </is>
      </c>
      <c r="D552" s="6">
        <f>B552+1+IF(B552&gt;=3,2,0)</f>
        <v/>
      </c>
      <c r="E552" s="6">
        <f>Config!I11*0.4*IF(B552&gt;=5,1.3,1)</f>
        <v/>
      </c>
      <c r="F552" s="6" t="inlineStr">
        <is>
          <t>-</t>
        </is>
      </c>
      <c r="G552" s="6" t="inlineStr"/>
    </row>
    <row r="553">
      <c r="A553" s="8" t="inlineStr">
        <is>
          <t>⚡闪电链</t>
        </is>
      </c>
      <c r="B553" s="8" t="n">
        <v>5</v>
      </c>
      <c r="C553" s="9" t="inlineStr">
        <is>
          <t>链命中触发导电(链伤 +30%)</t>
        </is>
      </c>
      <c r="D553" s="8">
        <f>B553+1+IF(B553&gt;=3,2,0)</f>
        <v/>
      </c>
      <c r="E553" s="8">
        <f>Config!I11*0.4*IF(B553&gt;=5,1.3,1)</f>
        <v/>
      </c>
      <c r="F553" s="8" t="inlineStr">
        <is>
          <t>-</t>
        </is>
      </c>
      <c r="G553" s="8" t="inlineStr">
        <is>
          <t>★Lv5质变</t>
        </is>
      </c>
    </row>
    <row r="554">
      <c r="A554" s="6" t="inlineStr">
        <is>
          <t>⚡闪电链</t>
        </is>
      </c>
      <c r="B554" s="6" t="n">
        <v>6</v>
      </c>
      <c r="C554" s="7" t="inlineStr">
        <is>
          <t>闪电链数 +1</t>
        </is>
      </c>
      <c r="D554" s="6">
        <f>B554+1+IF(B554&gt;=3,2,0)</f>
        <v/>
      </c>
      <c r="E554" s="6">
        <f>Config!I11*0.4*IF(B554&gt;=5,1.3,1)</f>
        <v/>
      </c>
      <c r="F554" s="6" t="inlineStr">
        <is>
          <t>-</t>
        </is>
      </c>
      <c r="G554" s="6" t="inlineStr"/>
    </row>
    <row r="555">
      <c r="A555" s="6" t="inlineStr">
        <is>
          <t>⚡闪电链</t>
        </is>
      </c>
      <c r="B555" s="6" t="n">
        <v>7</v>
      </c>
      <c r="C555" s="7" t="inlineStr">
        <is>
          <t>闪电链数 +1</t>
        </is>
      </c>
      <c r="D555" s="6">
        <f>B555+1+IF(B555&gt;=3,2,0)</f>
        <v/>
      </c>
      <c r="E555" s="6">
        <f>Config!I11*0.4*IF(B555&gt;=5,1.3,1)</f>
        <v/>
      </c>
      <c r="F555" s="6" t="inlineStr">
        <is>
          <t>-</t>
        </is>
      </c>
      <c r="G555" s="6" t="inlineStr"/>
    </row>
    <row r="556">
      <c r="A556" s="6" t="inlineStr">
        <is>
          <t>⚡闪电链</t>
        </is>
      </c>
      <c r="B556" s="6" t="n">
        <v>8</v>
      </c>
      <c r="C556" s="7" t="inlineStr">
        <is>
          <t>闪电链数 +1</t>
        </is>
      </c>
      <c r="D556" s="6">
        <f>B556+1+IF(B556&gt;=3,2,0)</f>
        <v/>
      </c>
      <c r="E556" s="6">
        <f>Config!I11*0.4*IF(B556&gt;=5,1.3,1)</f>
        <v/>
      </c>
      <c r="F556" s="6" t="inlineStr">
        <is>
          <t>-</t>
        </is>
      </c>
      <c r="G556" s="6" t="inlineStr"/>
    </row>
    <row r="557">
      <c r="A557" s="6" t="inlineStr">
        <is>
          <t>⚡闪电链</t>
        </is>
      </c>
      <c r="B557" s="6" t="n">
        <v>9</v>
      </c>
      <c r="C557" s="7" t="inlineStr">
        <is>
          <t>闪电链数 +1</t>
        </is>
      </c>
      <c r="D557" s="6">
        <f>B557+1+IF(B557&gt;=3,2,0)</f>
        <v/>
      </c>
      <c r="E557" s="6">
        <f>Config!I11*0.4*IF(B557&gt;=5,1.3,1)</f>
        <v/>
      </c>
      <c r="F557" s="6" t="inlineStr">
        <is>
          <t>-</t>
        </is>
      </c>
      <c r="G557" s="6" t="inlineStr"/>
    </row>
    <row r="558">
      <c r="A558" s="6" t="inlineStr">
        <is>
          <t>⚡闪电链</t>
        </is>
      </c>
      <c r="B558" s="6" t="n">
        <v>10</v>
      </c>
      <c r="C558" s="7" t="inlineStr">
        <is>
          <t>闪电链数 +1</t>
        </is>
      </c>
      <c r="D558" s="6">
        <f>B558+1+IF(B558&gt;=3,2,0)</f>
        <v/>
      </c>
      <c r="E558" s="6">
        <f>Config!I11*0.4*IF(B558&gt;=5,1.3,1)</f>
        <v/>
      </c>
      <c r="F558" s="6" t="inlineStr">
        <is>
          <t>-</t>
        </is>
      </c>
      <c r="G558" s="6" t="inlineStr"/>
    </row>
    <row r="559">
      <c r="A559" s="6" t="inlineStr">
        <is>
          <t>⚡闪电链</t>
        </is>
      </c>
      <c r="B559" s="6" t="n">
        <v>11</v>
      </c>
      <c r="C559" s="7" t="inlineStr">
        <is>
          <t>闪电链数 +1</t>
        </is>
      </c>
      <c r="D559" s="6">
        <f>B559+1+IF(B559&gt;=3,2,0)</f>
        <v/>
      </c>
      <c r="E559" s="6">
        <f>Config!I11*0.4*IF(B559&gt;=5,1.3,1)</f>
        <v/>
      </c>
      <c r="F559" s="6" t="inlineStr">
        <is>
          <t>-</t>
        </is>
      </c>
      <c r="G559" s="6" t="inlineStr"/>
    </row>
    <row r="560">
      <c r="A560" s="6" t="inlineStr">
        <is>
          <t>⚡闪电链</t>
        </is>
      </c>
      <c r="B560" s="6" t="n">
        <v>12</v>
      </c>
      <c r="C560" s="7" t="inlineStr">
        <is>
          <t>闪电链数 +1</t>
        </is>
      </c>
      <c r="D560" s="6">
        <f>B560+1+IF(B560&gt;=3,2,0)</f>
        <v/>
      </c>
      <c r="E560" s="6">
        <f>Config!I11*0.4*IF(B560&gt;=5,1.3,1)</f>
        <v/>
      </c>
      <c r="F560" s="6" t="inlineStr">
        <is>
          <t>-</t>
        </is>
      </c>
      <c r="G560" s="6" t="inlineStr"/>
    </row>
    <row r="561">
      <c r="A561" s="6" t="inlineStr">
        <is>
          <t>⚡闪电链</t>
        </is>
      </c>
      <c r="B561" s="6" t="n">
        <v>13</v>
      </c>
      <c r="C561" s="7" t="inlineStr">
        <is>
          <t>闪电链数 +1</t>
        </is>
      </c>
      <c r="D561" s="6">
        <f>B561+1+IF(B561&gt;=3,2,0)</f>
        <v/>
      </c>
      <c r="E561" s="6">
        <f>Config!I11*0.4*IF(B561&gt;=5,1.3,1)</f>
        <v/>
      </c>
      <c r="F561" s="6" t="inlineStr">
        <is>
          <t>-</t>
        </is>
      </c>
      <c r="G561" s="6" t="inlineStr"/>
    </row>
    <row r="562">
      <c r="A562" s="6" t="inlineStr">
        <is>
          <t>⚡闪电链</t>
        </is>
      </c>
      <c r="B562" s="6" t="n">
        <v>14</v>
      </c>
      <c r="C562" s="7" t="inlineStr">
        <is>
          <t>闪电链数 +1</t>
        </is>
      </c>
      <c r="D562" s="6">
        <f>B562+1+IF(B562&gt;=3,2,0)</f>
        <v/>
      </c>
      <c r="E562" s="6">
        <f>Config!I11*0.4*IF(B562&gt;=5,1.3,1)</f>
        <v/>
      </c>
      <c r="F562" s="6" t="inlineStr">
        <is>
          <t>-</t>
        </is>
      </c>
      <c r="G562" s="6" t="inlineStr"/>
    </row>
    <row r="563">
      <c r="A563" s="6" t="inlineStr">
        <is>
          <t>⚡闪电链</t>
        </is>
      </c>
      <c r="B563" s="6" t="n">
        <v>15</v>
      </c>
      <c r="C563" s="7" t="inlineStr">
        <is>
          <t>闪电链数 +1</t>
        </is>
      </c>
      <c r="D563" s="6">
        <f>B563+1+IF(B563&gt;=3,2,0)</f>
        <v/>
      </c>
      <c r="E563" s="6">
        <f>Config!I11*0.4*IF(B563&gt;=5,1.3,1)</f>
        <v/>
      </c>
      <c r="F563" s="6" t="inlineStr">
        <is>
          <t>-</t>
        </is>
      </c>
      <c r="G563" s="6" t="inlineStr"/>
    </row>
    <row r="564">
      <c r="A564" s="6" t="inlineStr">
        <is>
          <t>⚡闪电链</t>
        </is>
      </c>
      <c r="B564" s="6" t="n">
        <v>16</v>
      </c>
      <c r="C564" s="7" t="inlineStr">
        <is>
          <t>闪电链数 +1</t>
        </is>
      </c>
      <c r="D564" s="6">
        <f>B564+1+IF(B564&gt;=3,2,0)</f>
        <v/>
      </c>
      <c r="E564" s="6">
        <f>Config!I11*0.4*IF(B564&gt;=5,1.3,1)</f>
        <v/>
      </c>
      <c r="F564" s="6" t="inlineStr">
        <is>
          <t>-</t>
        </is>
      </c>
      <c r="G564" s="6" t="inlineStr"/>
    </row>
    <row r="565">
      <c r="A565" s="6" t="inlineStr">
        <is>
          <t>⚡闪电链</t>
        </is>
      </c>
      <c r="B565" s="6" t="n">
        <v>17</v>
      </c>
      <c r="C565" s="7" t="inlineStr">
        <is>
          <t>闪电链数 +1</t>
        </is>
      </c>
      <c r="D565" s="6">
        <f>B565+1+IF(B565&gt;=3,2,0)</f>
        <v/>
      </c>
      <c r="E565" s="6">
        <f>Config!I11*0.4*IF(B565&gt;=5,1.3,1)</f>
        <v/>
      </c>
      <c r="F565" s="6" t="inlineStr">
        <is>
          <t>-</t>
        </is>
      </c>
      <c r="G565" s="6" t="inlineStr"/>
    </row>
    <row r="566">
      <c r="A566" s="6" t="inlineStr">
        <is>
          <t>⚡闪电链</t>
        </is>
      </c>
      <c r="B566" s="6" t="n">
        <v>18</v>
      </c>
      <c r="C566" s="7" t="inlineStr">
        <is>
          <t>闪电链数 +1</t>
        </is>
      </c>
      <c r="D566" s="6">
        <f>B566+1+IF(B566&gt;=3,2,0)</f>
        <v/>
      </c>
      <c r="E566" s="6">
        <f>Config!I11*0.4*IF(B566&gt;=5,1.3,1)</f>
        <v/>
      </c>
      <c r="F566" s="6" t="inlineStr">
        <is>
          <t>-</t>
        </is>
      </c>
      <c r="G566" s="6" t="inlineStr"/>
    </row>
    <row r="567">
      <c r="A567" s="6" t="inlineStr">
        <is>
          <t>⚡闪电链</t>
        </is>
      </c>
      <c r="B567" s="6" t="n">
        <v>19</v>
      </c>
      <c r="C567" s="7" t="inlineStr">
        <is>
          <t>闪电链数 +1</t>
        </is>
      </c>
      <c r="D567" s="6">
        <f>B567+1+IF(B567&gt;=3,2,0)</f>
        <v/>
      </c>
      <c r="E567" s="6">
        <f>Config!I11*0.4*IF(B567&gt;=5,1.3,1)</f>
        <v/>
      </c>
      <c r="F567" s="6" t="inlineStr">
        <is>
          <t>-</t>
        </is>
      </c>
      <c r="G567" s="6" t="inlineStr"/>
    </row>
    <row r="568">
      <c r="A568" s="6" t="inlineStr">
        <is>
          <t>⚡闪电链</t>
        </is>
      </c>
      <c r="B568" s="6" t="n">
        <v>20</v>
      </c>
      <c r="C568" s="7" t="inlineStr">
        <is>
          <t>闪电链数 +1</t>
        </is>
      </c>
      <c r="D568" s="6">
        <f>B568+1+IF(B568&gt;=3,2,0)</f>
        <v/>
      </c>
      <c r="E568" s="6">
        <f>Config!I11*0.4*IF(B568&gt;=5,1.3,1)</f>
        <v/>
      </c>
      <c r="F568" s="6" t="inlineStr">
        <is>
          <t>-</t>
        </is>
      </c>
      <c r="G568" s="6" t="inlineStr"/>
    </row>
    <row r="569">
      <c r="A569" s="6" t="inlineStr">
        <is>
          <t>⚡闪电链</t>
        </is>
      </c>
      <c r="B569" s="6" t="n">
        <v>21</v>
      </c>
      <c r="C569" s="7" t="inlineStr">
        <is>
          <t>闪电链数 +1</t>
        </is>
      </c>
      <c r="D569" s="6">
        <f>B569+1+IF(B569&gt;=3,2,0)</f>
        <v/>
      </c>
      <c r="E569" s="6">
        <f>Config!I11*0.4*IF(B569&gt;=5,1.3,1)</f>
        <v/>
      </c>
      <c r="F569" s="6" t="inlineStr">
        <is>
          <t>-</t>
        </is>
      </c>
      <c r="G569" s="6" t="inlineStr"/>
    </row>
    <row r="570">
      <c r="A570" s="6" t="inlineStr">
        <is>
          <t>⚡闪电链</t>
        </is>
      </c>
      <c r="B570" s="6" t="n">
        <v>22</v>
      </c>
      <c r="C570" s="7" t="inlineStr">
        <is>
          <t>闪电链数 +1</t>
        </is>
      </c>
      <c r="D570" s="6">
        <f>B570+1+IF(B570&gt;=3,2,0)</f>
        <v/>
      </c>
      <c r="E570" s="6">
        <f>Config!I11*0.4*IF(B570&gt;=5,1.3,1)</f>
        <v/>
      </c>
      <c r="F570" s="6" t="inlineStr">
        <is>
          <t>-</t>
        </is>
      </c>
      <c r="G570" s="6" t="inlineStr"/>
    </row>
    <row r="571">
      <c r="A571" s="6" t="inlineStr">
        <is>
          <t>⚡闪电链</t>
        </is>
      </c>
      <c r="B571" s="6" t="n">
        <v>23</v>
      </c>
      <c r="C571" s="7" t="inlineStr">
        <is>
          <t>闪电链数 +1</t>
        </is>
      </c>
      <c r="D571" s="6">
        <f>B571+1+IF(B571&gt;=3,2,0)</f>
        <v/>
      </c>
      <c r="E571" s="6">
        <f>Config!I11*0.4*IF(B571&gt;=5,1.3,1)</f>
        <v/>
      </c>
      <c r="F571" s="6" t="inlineStr">
        <is>
          <t>-</t>
        </is>
      </c>
      <c r="G571" s="6" t="inlineStr"/>
    </row>
    <row r="572">
      <c r="A572" s="6" t="inlineStr">
        <is>
          <t>⚡闪电链</t>
        </is>
      </c>
      <c r="B572" s="6" t="n">
        <v>24</v>
      </c>
      <c r="C572" s="7" t="inlineStr">
        <is>
          <t>闪电链数 +1</t>
        </is>
      </c>
      <c r="D572" s="6">
        <f>B572+1+IF(B572&gt;=3,2,0)</f>
        <v/>
      </c>
      <c r="E572" s="6">
        <f>Config!I11*0.4*IF(B572&gt;=5,1.3,1)</f>
        <v/>
      </c>
      <c r="F572" s="6" t="inlineStr">
        <is>
          <t>-</t>
        </is>
      </c>
      <c r="G572" s="6" t="inlineStr"/>
    </row>
    <row r="573">
      <c r="A573" s="6" t="inlineStr">
        <is>
          <t>⚡闪电链</t>
        </is>
      </c>
      <c r="B573" s="6" t="n">
        <v>25</v>
      </c>
      <c r="C573" s="7" t="inlineStr">
        <is>
          <t>闪电链数 +1</t>
        </is>
      </c>
      <c r="D573" s="6">
        <f>B573+1+IF(B573&gt;=3,2,0)</f>
        <v/>
      </c>
      <c r="E573" s="6">
        <f>Config!I11*0.4*IF(B573&gt;=5,1.3,1)</f>
        <v/>
      </c>
      <c r="F573" s="6" t="inlineStr">
        <is>
          <t>-</t>
        </is>
      </c>
      <c r="G573" s="6" t="inlineStr"/>
    </row>
    <row r="574">
      <c r="A574" s="6" t="inlineStr">
        <is>
          <t>⚡闪电链</t>
        </is>
      </c>
      <c r="B574" s="6" t="n">
        <v>26</v>
      </c>
      <c r="C574" s="7" t="inlineStr">
        <is>
          <t>闪电链数 +1</t>
        </is>
      </c>
      <c r="D574" s="6">
        <f>B574+1+IF(B574&gt;=3,2,0)</f>
        <v/>
      </c>
      <c r="E574" s="6">
        <f>Config!I11*0.4*IF(B574&gt;=5,1.3,1)</f>
        <v/>
      </c>
      <c r="F574" s="6" t="inlineStr">
        <is>
          <t>-</t>
        </is>
      </c>
      <c r="G574" s="6" t="inlineStr"/>
    </row>
    <row r="575">
      <c r="A575" s="6" t="inlineStr">
        <is>
          <t>⚡闪电链</t>
        </is>
      </c>
      <c r="B575" s="6" t="n">
        <v>27</v>
      </c>
      <c r="C575" s="7" t="inlineStr">
        <is>
          <t>闪电链数 +1</t>
        </is>
      </c>
      <c r="D575" s="6">
        <f>B575+1+IF(B575&gt;=3,2,0)</f>
        <v/>
      </c>
      <c r="E575" s="6">
        <f>Config!I11*0.4*IF(B575&gt;=5,1.3,1)</f>
        <v/>
      </c>
      <c r="F575" s="6" t="inlineStr">
        <is>
          <t>-</t>
        </is>
      </c>
      <c r="G575" s="6" t="inlineStr"/>
    </row>
    <row r="576">
      <c r="A576" s="6" t="inlineStr">
        <is>
          <t>⚡闪电链</t>
        </is>
      </c>
      <c r="B576" s="6" t="n">
        <v>28</v>
      </c>
      <c r="C576" s="7" t="inlineStr">
        <is>
          <t>闪电链数 +1</t>
        </is>
      </c>
      <c r="D576" s="6">
        <f>B576+1+IF(B576&gt;=3,2,0)</f>
        <v/>
      </c>
      <c r="E576" s="6">
        <f>Config!I11*0.4*IF(B576&gt;=5,1.3,1)</f>
        <v/>
      </c>
      <c r="F576" s="6" t="inlineStr">
        <is>
          <t>-</t>
        </is>
      </c>
      <c r="G576" s="6" t="inlineStr"/>
    </row>
    <row r="577">
      <c r="A577" s="6" t="inlineStr">
        <is>
          <t>⚡闪电链</t>
        </is>
      </c>
      <c r="B577" s="6" t="n">
        <v>29</v>
      </c>
      <c r="C577" s="7" t="inlineStr">
        <is>
          <t>闪电链数 +1</t>
        </is>
      </c>
      <c r="D577" s="6">
        <f>B577+1+IF(B577&gt;=3,2,0)</f>
        <v/>
      </c>
      <c r="E577" s="6">
        <f>Config!I11*0.4*IF(B577&gt;=5,1.3,1)</f>
        <v/>
      </c>
      <c r="F577" s="6" t="inlineStr">
        <is>
          <t>-</t>
        </is>
      </c>
      <c r="G577" s="6" t="inlineStr"/>
    </row>
    <row r="578">
      <c r="A578" s="6" t="inlineStr">
        <is>
          <t>⚡闪电链</t>
        </is>
      </c>
      <c r="B578" s="6" t="n">
        <v>30</v>
      </c>
      <c r="C578" s="7" t="inlineStr">
        <is>
          <t>闪电链数 +1</t>
        </is>
      </c>
      <c r="D578" s="6">
        <f>B578+1+IF(B578&gt;=3,2,0)</f>
        <v/>
      </c>
      <c r="E578" s="6">
        <f>Config!I11*0.4*IF(B578&gt;=5,1.3,1)</f>
        <v/>
      </c>
      <c r="F578" s="6" t="inlineStr">
        <is>
          <t>-</t>
        </is>
      </c>
      <c r="G578" s="6" t="inlineStr"/>
    </row>
    <row r="579">
      <c r="A579" s="6" t="inlineStr">
        <is>
          <t>⚡闪电链</t>
        </is>
      </c>
      <c r="B579" s="6" t="n">
        <v>31</v>
      </c>
      <c r="C579" s="7" t="inlineStr">
        <is>
          <t>闪电链数 +1</t>
        </is>
      </c>
      <c r="D579" s="6">
        <f>B579+1+IF(B579&gt;=3,2,0)</f>
        <v/>
      </c>
      <c r="E579" s="6">
        <f>Config!I11*0.4*IF(B579&gt;=5,1.3,1)</f>
        <v/>
      </c>
      <c r="F579" s="6" t="inlineStr">
        <is>
          <t>-</t>
        </is>
      </c>
      <c r="G579" s="6" t="inlineStr"/>
    </row>
    <row r="580">
      <c r="A580" s="6" t="inlineStr">
        <is>
          <t>⚡闪电链</t>
        </is>
      </c>
      <c r="B580" s="6" t="n">
        <v>32</v>
      </c>
      <c r="C580" s="7" t="inlineStr">
        <is>
          <t>闪电链数 +1</t>
        </is>
      </c>
      <c r="D580" s="6">
        <f>B580+1+IF(B580&gt;=3,2,0)</f>
        <v/>
      </c>
      <c r="E580" s="6">
        <f>Config!I11*0.4*IF(B580&gt;=5,1.3,1)</f>
        <v/>
      </c>
      <c r="F580" s="6" t="inlineStr">
        <is>
          <t>-</t>
        </is>
      </c>
      <c r="G580" s="6" t="inlineStr"/>
    </row>
    <row r="581">
      <c r="A581" s="6" t="inlineStr">
        <is>
          <t>⚡闪电链</t>
        </is>
      </c>
      <c r="B581" s="6" t="n">
        <v>33</v>
      </c>
      <c r="C581" s="7" t="inlineStr">
        <is>
          <t>闪电链数 +1</t>
        </is>
      </c>
      <c r="D581" s="6">
        <f>B581+1+IF(B581&gt;=3,2,0)</f>
        <v/>
      </c>
      <c r="E581" s="6">
        <f>Config!I11*0.4*IF(B581&gt;=5,1.3,1)</f>
        <v/>
      </c>
      <c r="F581" s="6" t="inlineStr">
        <is>
          <t>-</t>
        </is>
      </c>
      <c r="G581" s="6" t="inlineStr"/>
    </row>
    <row r="582">
      <c r="A582" s="6" t="inlineStr">
        <is>
          <t>⚡闪电链</t>
        </is>
      </c>
      <c r="B582" s="6" t="n">
        <v>34</v>
      </c>
      <c r="C582" s="7" t="inlineStr">
        <is>
          <t>闪电链数 +1</t>
        </is>
      </c>
      <c r="D582" s="6">
        <f>B582+1+IF(B582&gt;=3,2,0)</f>
        <v/>
      </c>
      <c r="E582" s="6">
        <f>Config!I11*0.4*IF(B582&gt;=5,1.3,1)</f>
        <v/>
      </c>
      <c r="F582" s="6" t="inlineStr">
        <is>
          <t>-</t>
        </is>
      </c>
      <c r="G582" s="6" t="inlineStr"/>
    </row>
    <row r="583">
      <c r="A583" s="6" t="inlineStr">
        <is>
          <t>⚡闪电链</t>
        </is>
      </c>
      <c r="B583" s="6" t="n">
        <v>35</v>
      </c>
      <c r="C583" s="7" t="inlineStr">
        <is>
          <t>闪电链数 +1</t>
        </is>
      </c>
      <c r="D583" s="6">
        <f>B583+1+IF(B583&gt;=3,2,0)</f>
        <v/>
      </c>
      <c r="E583" s="6">
        <f>Config!I11*0.4*IF(B583&gt;=5,1.3,1)</f>
        <v/>
      </c>
      <c r="F583" s="6" t="inlineStr">
        <is>
          <t>-</t>
        </is>
      </c>
      <c r="G583" s="6" t="inlineStr"/>
    </row>
    <row r="584">
      <c r="A584" s="6" t="inlineStr">
        <is>
          <t>⚡闪电链</t>
        </is>
      </c>
      <c r="B584" s="6" t="n">
        <v>36</v>
      </c>
      <c r="C584" s="7" t="inlineStr">
        <is>
          <t>闪电链数 +1</t>
        </is>
      </c>
      <c r="D584" s="6">
        <f>B584+1+IF(B584&gt;=3,2,0)</f>
        <v/>
      </c>
      <c r="E584" s="6">
        <f>Config!I11*0.4*IF(B584&gt;=5,1.3,1)</f>
        <v/>
      </c>
      <c r="F584" s="6" t="inlineStr">
        <is>
          <t>-</t>
        </is>
      </c>
      <c r="G584" s="6" t="inlineStr"/>
    </row>
    <row r="585">
      <c r="A585" s="6" t="inlineStr">
        <is>
          <t>⚡闪电链</t>
        </is>
      </c>
      <c r="B585" s="6" t="n">
        <v>37</v>
      </c>
      <c r="C585" s="7" t="inlineStr">
        <is>
          <t>闪电链数 +1</t>
        </is>
      </c>
      <c r="D585" s="6">
        <f>B585+1+IF(B585&gt;=3,2,0)</f>
        <v/>
      </c>
      <c r="E585" s="6">
        <f>Config!I11*0.4*IF(B585&gt;=5,1.3,1)</f>
        <v/>
      </c>
      <c r="F585" s="6" t="inlineStr">
        <is>
          <t>-</t>
        </is>
      </c>
      <c r="G585" s="6" t="inlineStr"/>
    </row>
    <row r="586">
      <c r="A586" s="6" t="inlineStr">
        <is>
          <t>⚡闪电链</t>
        </is>
      </c>
      <c r="B586" s="6" t="n">
        <v>38</v>
      </c>
      <c r="C586" s="7" t="inlineStr">
        <is>
          <t>闪电链数 +1</t>
        </is>
      </c>
      <c r="D586" s="6">
        <f>B586+1+IF(B586&gt;=3,2,0)</f>
        <v/>
      </c>
      <c r="E586" s="6">
        <f>Config!I11*0.4*IF(B586&gt;=5,1.3,1)</f>
        <v/>
      </c>
      <c r="F586" s="6" t="inlineStr">
        <is>
          <t>-</t>
        </is>
      </c>
      <c r="G586" s="6" t="inlineStr"/>
    </row>
    <row r="587">
      <c r="A587" s="6" t="inlineStr">
        <is>
          <t>⚡闪电链</t>
        </is>
      </c>
      <c r="B587" s="6" t="n">
        <v>39</v>
      </c>
      <c r="C587" s="7" t="inlineStr">
        <is>
          <t>闪电链数 +1</t>
        </is>
      </c>
      <c r="D587" s="6">
        <f>B587+1+IF(B587&gt;=3,2,0)</f>
        <v/>
      </c>
      <c r="E587" s="6">
        <f>Config!I11*0.4*IF(B587&gt;=5,1.3,1)</f>
        <v/>
      </c>
      <c r="F587" s="6" t="inlineStr">
        <is>
          <t>-</t>
        </is>
      </c>
      <c r="G587" s="6" t="inlineStr"/>
    </row>
    <row r="588">
      <c r="A588" s="6" t="inlineStr">
        <is>
          <t>⚡闪电链</t>
        </is>
      </c>
      <c r="B588" s="6" t="n">
        <v>40</v>
      </c>
      <c r="C588" s="7" t="inlineStr">
        <is>
          <t>闪电链数 +1</t>
        </is>
      </c>
      <c r="D588" s="6">
        <f>B588+1+IF(B588&gt;=3,2,0)</f>
        <v/>
      </c>
      <c r="E588" s="6">
        <f>Config!I11*0.4*IF(B588&gt;=5,1.3,1)</f>
        <v/>
      </c>
      <c r="F588" s="6" t="inlineStr">
        <is>
          <t>-</t>
        </is>
      </c>
      <c r="G588" s="6" t="inlineStr"/>
    </row>
    <row r="589">
      <c r="A589" s="6" t="inlineStr">
        <is>
          <t>⚡闪电链</t>
        </is>
      </c>
      <c r="B589" s="6" t="n">
        <v>41</v>
      </c>
      <c r="C589" s="7" t="inlineStr">
        <is>
          <t>闪电链数 +1</t>
        </is>
      </c>
      <c r="D589" s="6">
        <f>B589+1+IF(B589&gt;=3,2,0)</f>
        <v/>
      </c>
      <c r="E589" s="6">
        <f>Config!I11*0.4*IF(B589&gt;=5,1.3,1)</f>
        <v/>
      </c>
      <c r="F589" s="6" t="inlineStr">
        <is>
          <t>-</t>
        </is>
      </c>
      <c r="G589" s="6" t="inlineStr"/>
    </row>
    <row r="590">
      <c r="A590" s="6" t="inlineStr">
        <is>
          <t>⚡闪电链</t>
        </is>
      </c>
      <c r="B590" s="6" t="n">
        <v>42</v>
      </c>
      <c r="C590" s="7" t="inlineStr">
        <is>
          <t>闪电链数 +1</t>
        </is>
      </c>
      <c r="D590" s="6">
        <f>B590+1+IF(B590&gt;=3,2,0)</f>
        <v/>
      </c>
      <c r="E590" s="6">
        <f>Config!I11*0.4*IF(B590&gt;=5,1.3,1)</f>
        <v/>
      </c>
      <c r="F590" s="6" t="inlineStr">
        <is>
          <t>-</t>
        </is>
      </c>
      <c r="G590" s="6" t="inlineStr"/>
    </row>
    <row r="591">
      <c r="A591" s="6" t="inlineStr">
        <is>
          <t>⚡闪电链</t>
        </is>
      </c>
      <c r="B591" s="6" t="n">
        <v>43</v>
      </c>
      <c r="C591" s="7" t="inlineStr">
        <is>
          <t>闪电链数 +1</t>
        </is>
      </c>
      <c r="D591" s="6">
        <f>B591+1+IF(B591&gt;=3,2,0)</f>
        <v/>
      </c>
      <c r="E591" s="6">
        <f>Config!I11*0.4*IF(B591&gt;=5,1.3,1)</f>
        <v/>
      </c>
      <c r="F591" s="6" t="inlineStr">
        <is>
          <t>-</t>
        </is>
      </c>
      <c r="G591" s="6" t="inlineStr"/>
    </row>
    <row r="592">
      <c r="A592" s="6" t="inlineStr">
        <is>
          <t>⚡闪电链</t>
        </is>
      </c>
      <c r="B592" s="6" t="n">
        <v>44</v>
      </c>
      <c r="C592" s="7" t="inlineStr">
        <is>
          <t>闪电链数 +1</t>
        </is>
      </c>
      <c r="D592" s="6">
        <f>B592+1+IF(B592&gt;=3,2,0)</f>
        <v/>
      </c>
      <c r="E592" s="6">
        <f>Config!I11*0.4*IF(B592&gt;=5,1.3,1)</f>
        <v/>
      </c>
      <c r="F592" s="6" t="inlineStr">
        <is>
          <t>-</t>
        </is>
      </c>
      <c r="G592" s="6" t="inlineStr"/>
    </row>
    <row r="593">
      <c r="A593" s="6" t="inlineStr">
        <is>
          <t>⚡闪电链</t>
        </is>
      </c>
      <c r="B593" s="6" t="n">
        <v>45</v>
      </c>
      <c r="C593" s="7" t="inlineStr">
        <is>
          <t>闪电链数 +1</t>
        </is>
      </c>
      <c r="D593" s="6">
        <f>B593+1+IF(B593&gt;=3,2,0)</f>
        <v/>
      </c>
      <c r="E593" s="6">
        <f>Config!I11*0.4*IF(B593&gt;=5,1.3,1)</f>
        <v/>
      </c>
      <c r="F593" s="6" t="inlineStr">
        <is>
          <t>-</t>
        </is>
      </c>
      <c r="G593" s="6" t="inlineStr"/>
    </row>
    <row r="594">
      <c r="A594" s="6" t="inlineStr">
        <is>
          <t>⚡闪电链</t>
        </is>
      </c>
      <c r="B594" s="6" t="n">
        <v>46</v>
      </c>
      <c r="C594" s="7" t="inlineStr">
        <is>
          <t>闪电链数 +1</t>
        </is>
      </c>
      <c r="D594" s="6">
        <f>B594+1+IF(B594&gt;=3,2,0)</f>
        <v/>
      </c>
      <c r="E594" s="6">
        <f>Config!I11*0.4*IF(B594&gt;=5,1.3,1)</f>
        <v/>
      </c>
      <c r="F594" s="6" t="inlineStr">
        <is>
          <t>-</t>
        </is>
      </c>
      <c r="G594" s="6" t="inlineStr"/>
    </row>
    <row r="595">
      <c r="A595" s="6" t="inlineStr">
        <is>
          <t>⚡闪电链</t>
        </is>
      </c>
      <c r="B595" s="6" t="n">
        <v>47</v>
      </c>
      <c r="C595" s="7" t="inlineStr">
        <is>
          <t>闪电链数 +1</t>
        </is>
      </c>
      <c r="D595" s="6">
        <f>B595+1+IF(B595&gt;=3,2,0)</f>
        <v/>
      </c>
      <c r="E595" s="6">
        <f>Config!I11*0.4*IF(B595&gt;=5,1.3,1)</f>
        <v/>
      </c>
      <c r="F595" s="6" t="inlineStr">
        <is>
          <t>-</t>
        </is>
      </c>
      <c r="G595" s="6" t="inlineStr"/>
    </row>
    <row r="596">
      <c r="A596" s="6" t="inlineStr">
        <is>
          <t>⚡闪电链</t>
        </is>
      </c>
      <c r="B596" s="6" t="n">
        <v>48</v>
      </c>
      <c r="C596" s="7" t="inlineStr">
        <is>
          <t>闪电链数 +1</t>
        </is>
      </c>
      <c r="D596" s="6">
        <f>B596+1+IF(B596&gt;=3,2,0)</f>
        <v/>
      </c>
      <c r="E596" s="6">
        <f>Config!I11*0.4*IF(B596&gt;=5,1.3,1)</f>
        <v/>
      </c>
      <c r="F596" s="6" t="inlineStr">
        <is>
          <t>-</t>
        </is>
      </c>
      <c r="G596" s="6" t="inlineStr"/>
    </row>
    <row r="597">
      <c r="A597" s="6" t="inlineStr">
        <is>
          <t>⚡闪电链</t>
        </is>
      </c>
      <c r="B597" s="6" t="n">
        <v>49</v>
      </c>
      <c r="C597" s="7" t="inlineStr">
        <is>
          <t>闪电链数 +1</t>
        </is>
      </c>
      <c r="D597" s="6">
        <f>B597+1+IF(B597&gt;=3,2,0)</f>
        <v/>
      </c>
      <c r="E597" s="6">
        <f>Config!I11*0.4*IF(B597&gt;=5,1.3,1)</f>
        <v/>
      </c>
      <c r="F597" s="6" t="inlineStr">
        <is>
          <t>-</t>
        </is>
      </c>
      <c r="G597" s="6" t="inlineStr"/>
    </row>
    <row r="598">
      <c r="A598" s="6" t="inlineStr">
        <is>
          <t>⚡闪电链</t>
        </is>
      </c>
      <c r="B598" s="6" t="n">
        <v>50</v>
      </c>
      <c r="C598" s="7" t="inlineStr">
        <is>
          <t>闪电链数 +1</t>
        </is>
      </c>
      <c r="D598" s="6">
        <f>B598+1+IF(B598&gt;=3,2,0)</f>
        <v/>
      </c>
      <c r="E598" s="6">
        <f>Config!I11*0.4*IF(B598&gt;=5,1.3,1)</f>
        <v/>
      </c>
      <c r="F598" s="6" t="inlineStr">
        <is>
          <t>-</t>
        </is>
      </c>
      <c r="G598" s="6" t="inlineStr"/>
    </row>
    <row r="599">
      <c r="A599" s="6" t="inlineStr">
        <is>
          <t>⚡闪电链</t>
        </is>
      </c>
      <c r="B599" s="6" t="n">
        <v>51</v>
      </c>
      <c r="C599" s="7" t="inlineStr">
        <is>
          <t>闪电链数 +1</t>
        </is>
      </c>
      <c r="D599" s="6">
        <f>B599+1+IF(B599&gt;=3,2,0)</f>
        <v/>
      </c>
      <c r="E599" s="6">
        <f>Config!I11*0.4*IF(B599&gt;=5,1.3,1)</f>
        <v/>
      </c>
      <c r="F599" s="6" t="inlineStr">
        <is>
          <t>-</t>
        </is>
      </c>
      <c r="G599" s="6" t="inlineStr"/>
    </row>
    <row r="600">
      <c r="A600" s="6" t="inlineStr">
        <is>
          <t>⚡闪电链</t>
        </is>
      </c>
      <c r="B600" s="6" t="n">
        <v>52</v>
      </c>
      <c r="C600" s="7" t="inlineStr">
        <is>
          <t>闪电链数 +1</t>
        </is>
      </c>
      <c r="D600" s="6">
        <f>B600+1+IF(B600&gt;=3,2,0)</f>
        <v/>
      </c>
      <c r="E600" s="6">
        <f>Config!I11*0.4*IF(B600&gt;=5,1.3,1)</f>
        <v/>
      </c>
      <c r="F600" s="6" t="inlineStr">
        <is>
          <t>-</t>
        </is>
      </c>
      <c r="G600" s="6" t="inlineStr"/>
    </row>
    <row r="601">
      <c r="A601" s="6" t="inlineStr">
        <is>
          <t>⚡闪电链</t>
        </is>
      </c>
      <c r="B601" s="6" t="n">
        <v>53</v>
      </c>
      <c r="C601" s="7" t="inlineStr">
        <is>
          <t>闪电链数 +1</t>
        </is>
      </c>
      <c r="D601" s="6">
        <f>B601+1+IF(B601&gt;=3,2,0)</f>
        <v/>
      </c>
      <c r="E601" s="6">
        <f>Config!I11*0.4*IF(B601&gt;=5,1.3,1)</f>
        <v/>
      </c>
      <c r="F601" s="6" t="inlineStr">
        <is>
          <t>-</t>
        </is>
      </c>
      <c r="G601" s="6" t="inlineStr"/>
    </row>
    <row r="602">
      <c r="A602" s="6" t="inlineStr">
        <is>
          <t>⚡闪电链</t>
        </is>
      </c>
      <c r="B602" s="6" t="n">
        <v>54</v>
      </c>
      <c r="C602" s="7" t="inlineStr">
        <is>
          <t>闪电链数 +1</t>
        </is>
      </c>
      <c r="D602" s="6">
        <f>B602+1+IF(B602&gt;=3,2,0)</f>
        <v/>
      </c>
      <c r="E602" s="6">
        <f>Config!I11*0.4*IF(B602&gt;=5,1.3,1)</f>
        <v/>
      </c>
      <c r="F602" s="6" t="inlineStr">
        <is>
          <t>-</t>
        </is>
      </c>
      <c r="G602" s="6" t="inlineStr"/>
    </row>
    <row r="603">
      <c r="A603" s="6" t="inlineStr">
        <is>
          <t>⚡闪电链</t>
        </is>
      </c>
      <c r="B603" s="6" t="n">
        <v>55</v>
      </c>
      <c r="C603" s="7" t="inlineStr">
        <is>
          <t>闪电链数 +1</t>
        </is>
      </c>
      <c r="D603" s="6">
        <f>B603+1+IF(B603&gt;=3,2,0)</f>
        <v/>
      </c>
      <c r="E603" s="6">
        <f>Config!I11*0.4*IF(B603&gt;=5,1.3,1)</f>
        <v/>
      </c>
      <c r="F603" s="6" t="inlineStr">
        <is>
          <t>-</t>
        </is>
      </c>
      <c r="G603" s="6" t="inlineStr"/>
    </row>
    <row r="604">
      <c r="A604" s="6" t="inlineStr">
        <is>
          <t>⚡闪电链</t>
        </is>
      </c>
      <c r="B604" s="6" t="n">
        <v>56</v>
      </c>
      <c r="C604" s="7" t="inlineStr">
        <is>
          <t>闪电链数 +1</t>
        </is>
      </c>
      <c r="D604" s="6">
        <f>B604+1+IF(B604&gt;=3,2,0)</f>
        <v/>
      </c>
      <c r="E604" s="6">
        <f>Config!I11*0.4*IF(B604&gt;=5,1.3,1)</f>
        <v/>
      </c>
      <c r="F604" s="6" t="inlineStr">
        <is>
          <t>-</t>
        </is>
      </c>
      <c r="G604" s="6" t="inlineStr"/>
    </row>
    <row r="605">
      <c r="A605" s="6" t="inlineStr">
        <is>
          <t>⚡闪电链</t>
        </is>
      </c>
      <c r="B605" s="6" t="n">
        <v>57</v>
      </c>
      <c r="C605" s="7" t="inlineStr">
        <is>
          <t>闪电链数 +1</t>
        </is>
      </c>
      <c r="D605" s="6">
        <f>B605+1+IF(B605&gt;=3,2,0)</f>
        <v/>
      </c>
      <c r="E605" s="6">
        <f>Config!I11*0.4*IF(B605&gt;=5,1.3,1)</f>
        <v/>
      </c>
      <c r="F605" s="6" t="inlineStr">
        <is>
          <t>-</t>
        </is>
      </c>
      <c r="G605" s="6" t="inlineStr"/>
    </row>
    <row r="606">
      <c r="A606" s="6" t="inlineStr">
        <is>
          <t>⚡闪电链</t>
        </is>
      </c>
      <c r="B606" s="6" t="n">
        <v>58</v>
      </c>
      <c r="C606" s="7" t="inlineStr">
        <is>
          <t>闪电链数 +1</t>
        </is>
      </c>
      <c r="D606" s="6">
        <f>B606+1+IF(B606&gt;=3,2,0)</f>
        <v/>
      </c>
      <c r="E606" s="6">
        <f>Config!I11*0.4*IF(B606&gt;=5,1.3,1)</f>
        <v/>
      </c>
      <c r="F606" s="6" t="inlineStr">
        <is>
          <t>-</t>
        </is>
      </c>
      <c r="G606" s="6" t="inlineStr"/>
    </row>
    <row r="607">
      <c r="A607" s="6" t="inlineStr">
        <is>
          <t>⚡闪电链</t>
        </is>
      </c>
      <c r="B607" s="6" t="n">
        <v>59</v>
      </c>
      <c r="C607" s="7" t="inlineStr">
        <is>
          <t>闪电链数 +1</t>
        </is>
      </c>
      <c r="D607" s="6">
        <f>B607+1+IF(B607&gt;=3,2,0)</f>
        <v/>
      </c>
      <c r="E607" s="6">
        <f>Config!I11*0.4*IF(B607&gt;=5,1.3,1)</f>
        <v/>
      </c>
      <c r="F607" s="6" t="inlineStr">
        <is>
          <t>-</t>
        </is>
      </c>
      <c r="G607" s="6" t="inlineStr"/>
    </row>
    <row r="608">
      <c r="A608" s="6" t="inlineStr">
        <is>
          <t>⚡闪电链</t>
        </is>
      </c>
      <c r="B608" s="6" t="n">
        <v>60</v>
      </c>
      <c r="C608" s="7" t="inlineStr">
        <is>
          <t>闪电链数 +1</t>
        </is>
      </c>
      <c r="D608" s="6">
        <f>B608+1+IF(B608&gt;=3,2,0)</f>
        <v/>
      </c>
      <c r="E608" s="6">
        <f>Config!I11*0.4*IF(B608&gt;=5,1.3,1)</f>
        <v/>
      </c>
      <c r="F608" s="6" t="inlineStr">
        <is>
          <t>-</t>
        </is>
      </c>
      <c r="G608" s="6" t="inlineStr"/>
    </row>
    <row r="609">
      <c r="A609" s="6" t="inlineStr">
        <is>
          <t>⚡闪电链</t>
        </is>
      </c>
      <c r="B609" s="6" t="n">
        <v>61</v>
      </c>
      <c r="C609" s="7" t="inlineStr">
        <is>
          <t>闪电链数 +1</t>
        </is>
      </c>
      <c r="D609" s="6">
        <f>B609+1+IF(B609&gt;=3,2,0)</f>
        <v/>
      </c>
      <c r="E609" s="6">
        <f>Config!I11*0.4*IF(B609&gt;=5,1.3,1)</f>
        <v/>
      </c>
      <c r="F609" s="6" t="inlineStr">
        <is>
          <t>-</t>
        </is>
      </c>
      <c r="G609" s="6" t="inlineStr"/>
    </row>
    <row r="610">
      <c r="A610" s="6" t="inlineStr">
        <is>
          <t>⚡闪电链</t>
        </is>
      </c>
      <c r="B610" s="6" t="n">
        <v>62</v>
      </c>
      <c r="C610" s="7" t="inlineStr">
        <is>
          <t>闪电链数 +1</t>
        </is>
      </c>
      <c r="D610" s="6">
        <f>B610+1+IF(B610&gt;=3,2,0)</f>
        <v/>
      </c>
      <c r="E610" s="6">
        <f>Config!I11*0.4*IF(B610&gt;=5,1.3,1)</f>
        <v/>
      </c>
      <c r="F610" s="6" t="inlineStr">
        <is>
          <t>-</t>
        </is>
      </c>
      <c r="G610" s="6" t="inlineStr"/>
    </row>
    <row r="611">
      <c r="A611" s="6" t="inlineStr">
        <is>
          <t>⚡闪电链</t>
        </is>
      </c>
      <c r="B611" s="6" t="n">
        <v>63</v>
      </c>
      <c r="C611" s="7" t="inlineStr">
        <is>
          <t>闪电链数 +1</t>
        </is>
      </c>
      <c r="D611" s="6">
        <f>B611+1+IF(B611&gt;=3,2,0)</f>
        <v/>
      </c>
      <c r="E611" s="6">
        <f>Config!I11*0.4*IF(B611&gt;=5,1.3,1)</f>
        <v/>
      </c>
      <c r="F611" s="6" t="inlineStr">
        <is>
          <t>-</t>
        </is>
      </c>
      <c r="G611" s="6" t="inlineStr"/>
    </row>
    <row r="612">
      <c r="A612" s="6" t="inlineStr">
        <is>
          <t>⚡闪电链</t>
        </is>
      </c>
      <c r="B612" s="6" t="n">
        <v>64</v>
      </c>
      <c r="C612" s="7" t="inlineStr">
        <is>
          <t>闪电链数 +1</t>
        </is>
      </c>
      <c r="D612" s="6">
        <f>B612+1+IF(B612&gt;=3,2,0)</f>
        <v/>
      </c>
      <c r="E612" s="6">
        <f>Config!I11*0.4*IF(B612&gt;=5,1.3,1)</f>
        <v/>
      </c>
      <c r="F612" s="6" t="inlineStr">
        <is>
          <t>-</t>
        </is>
      </c>
      <c r="G612" s="6" t="inlineStr"/>
    </row>
    <row r="613">
      <c r="A613" s="6" t="inlineStr">
        <is>
          <t>⚡闪电链</t>
        </is>
      </c>
      <c r="B613" s="6" t="n">
        <v>65</v>
      </c>
      <c r="C613" s="7" t="inlineStr">
        <is>
          <t>闪电链数 +1</t>
        </is>
      </c>
      <c r="D613" s="6">
        <f>B613+1+IF(B613&gt;=3,2,0)</f>
        <v/>
      </c>
      <c r="E613" s="6">
        <f>Config!I11*0.4*IF(B613&gt;=5,1.3,1)</f>
        <v/>
      </c>
      <c r="F613" s="6" t="inlineStr">
        <is>
          <t>-</t>
        </is>
      </c>
      <c r="G613" s="6" t="inlineStr"/>
    </row>
    <row r="614">
      <c r="A614" s="6" t="inlineStr">
        <is>
          <t>⚡闪电链</t>
        </is>
      </c>
      <c r="B614" s="6" t="n">
        <v>66</v>
      </c>
      <c r="C614" s="7" t="inlineStr">
        <is>
          <t>闪电链数 +1</t>
        </is>
      </c>
      <c r="D614" s="6">
        <f>B614+1+IF(B614&gt;=3,2,0)</f>
        <v/>
      </c>
      <c r="E614" s="6">
        <f>Config!I11*0.4*IF(B614&gt;=5,1.3,1)</f>
        <v/>
      </c>
      <c r="F614" s="6" t="inlineStr">
        <is>
          <t>-</t>
        </is>
      </c>
      <c r="G614" s="6" t="inlineStr"/>
    </row>
    <row r="615">
      <c r="A615" s="6" t="inlineStr">
        <is>
          <t>⚡闪电链</t>
        </is>
      </c>
      <c r="B615" s="6" t="n">
        <v>67</v>
      </c>
      <c r="C615" s="7" t="inlineStr">
        <is>
          <t>闪电链数 +1</t>
        </is>
      </c>
      <c r="D615" s="6">
        <f>B615+1+IF(B615&gt;=3,2,0)</f>
        <v/>
      </c>
      <c r="E615" s="6">
        <f>Config!I11*0.4*IF(B615&gt;=5,1.3,1)</f>
        <v/>
      </c>
      <c r="F615" s="6" t="inlineStr">
        <is>
          <t>-</t>
        </is>
      </c>
      <c r="G615" s="6" t="inlineStr"/>
    </row>
    <row r="616">
      <c r="A616" s="6" t="inlineStr">
        <is>
          <t>⚡闪电链</t>
        </is>
      </c>
      <c r="B616" s="6" t="n">
        <v>68</v>
      </c>
      <c r="C616" s="7" t="inlineStr">
        <is>
          <t>闪电链数 +1</t>
        </is>
      </c>
      <c r="D616" s="6">
        <f>B616+1+IF(B616&gt;=3,2,0)</f>
        <v/>
      </c>
      <c r="E616" s="6">
        <f>Config!I11*0.4*IF(B616&gt;=5,1.3,1)</f>
        <v/>
      </c>
      <c r="F616" s="6" t="inlineStr">
        <is>
          <t>-</t>
        </is>
      </c>
      <c r="G616" s="6" t="inlineStr"/>
    </row>
    <row r="617">
      <c r="A617" s="6" t="inlineStr">
        <is>
          <t>⚡闪电链</t>
        </is>
      </c>
      <c r="B617" s="6" t="n">
        <v>69</v>
      </c>
      <c r="C617" s="7" t="inlineStr">
        <is>
          <t>闪电链数 +1</t>
        </is>
      </c>
      <c r="D617" s="6">
        <f>B617+1+IF(B617&gt;=3,2,0)</f>
        <v/>
      </c>
      <c r="E617" s="6">
        <f>Config!I11*0.4*IF(B617&gt;=5,1.3,1)</f>
        <v/>
      </c>
      <c r="F617" s="6" t="inlineStr">
        <is>
          <t>-</t>
        </is>
      </c>
      <c r="G617" s="6" t="inlineStr"/>
    </row>
    <row r="618">
      <c r="A618" s="6" t="inlineStr">
        <is>
          <t>⚡闪电链</t>
        </is>
      </c>
      <c r="B618" s="6" t="n">
        <v>70</v>
      </c>
      <c r="C618" s="7" t="inlineStr">
        <is>
          <t>闪电链数 +1</t>
        </is>
      </c>
      <c r="D618" s="6">
        <f>B618+1+IF(B618&gt;=3,2,0)</f>
        <v/>
      </c>
      <c r="E618" s="6">
        <f>Config!I11*0.4*IF(B618&gt;=5,1.3,1)</f>
        <v/>
      </c>
      <c r="F618" s="6" t="inlineStr">
        <is>
          <t>-</t>
        </is>
      </c>
      <c r="G618" s="6" t="inlineStr"/>
    </row>
    <row r="619">
      <c r="A619" s="6" t="inlineStr">
        <is>
          <t>⚡闪电链</t>
        </is>
      </c>
      <c r="B619" s="6" t="n">
        <v>71</v>
      </c>
      <c r="C619" s="7" t="inlineStr">
        <is>
          <t>闪电链数 +1</t>
        </is>
      </c>
      <c r="D619" s="6">
        <f>B619+1+IF(B619&gt;=3,2,0)</f>
        <v/>
      </c>
      <c r="E619" s="6">
        <f>Config!I11*0.4*IF(B619&gt;=5,1.3,1)</f>
        <v/>
      </c>
      <c r="F619" s="6" t="inlineStr">
        <is>
          <t>-</t>
        </is>
      </c>
      <c r="G619" s="6" t="inlineStr"/>
    </row>
    <row r="620">
      <c r="A620" s="6" t="inlineStr">
        <is>
          <t>⚡闪电链</t>
        </is>
      </c>
      <c r="B620" s="6" t="n">
        <v>72</v>
      </c>
      <c r="C620" s="7" t="inlineStr">
        <is>
          <t>闪电链数 +1</t>
        </is>
      </c>
      <c r="D620" s="6">
        <f>B620+1+IF(B620&gt;=3,2,0)</f>
        <v/>
      </c>
      <c r="E620" s="6">
        <f>Config!I11*0.4*IF(B620&gt;=5,1.3,1)</f>
        <v/>
      </c>
      <c r="F620" s="6" t="inlineStr">
        <is>
          <t>-</t>
        </is>
      </c>
      <c r="G620" s="6" t="inlineStr"/>
    </row>
    <row r="621">
      <c r="A621" s="6" t="inlineStr">
        <is>
          <t>⚡闪电链</t>
        </is>
      </c>
      <c r="B621" s="6" t="n">
        <v>73</v>
      </c>
      <c r="C621" s="7" t="inlineStr">
        <is>
          <t>闪电链数 +1</t>
        </is>
      </c>
      <c r="D621" s="6">
        <f>B621+1+IF(B621&gt;=3,2,0)</f>
        <v/>
      </c>
      <c r="E621" s="6">
        <f>Config!I11*0.4*IF(B621&gt;=5,1.3,1)</f>
        <v/>
      </c>
      <c r="F621" s="6" t="inlineStr">
        <is>
          <t>-</t>
        </is>
      </c>
      <c r="G621" s="6" t="inlineStr"/>
    </row>
    <row r="622">
      <c r="A622" s="6" t="inlineStr">
        <is>
          <t>⚡闪电链</t>
        </is>
      </c>
      <c r="B622" s="6" t="n">
        <v>74</v>
      </c>
      <c r="C622" s="7" t="inlineStr">
        <is>
          <t>闪电链数 +1</t>
        </is>
      </c>
      <c r="D622" s="6">
        <f>B622+1+IF(B622&gt;=3,2,0)</f>
        <v/>
      </c>
      <c r="E622" s="6">
        <f>Config!I11*0.4*IF(B622&gt;=5,1.3,1)</f>
        <v/>
      </c>
      <c r="F622" s="6" t="inlineStr">
        <is>
          <t>-</t>
        </is>
      </c>
      <c r="G622" s="6" t="inlineStr"/>
    </row>
    <row r="623">
      <c r="A623" s="6" t="inlineStr">
        <is>
          <t>⚡闪电链</t>
        </is>
      </c>
      <c r="B623" s="6" t="n">
        <v>75</v>
      </c>
      <c r="C623" s="7" t="inlineStr">
        <is>
          <t>闪电链数 +1</t>
        </is>
      </c>
      <c r="D623" s="6">
        <f>B623+1+IF(B623&gt;=3,2,0)</f>
        <v/>
      </c>
      <c r="E623" s="6">
        <f>Config!I11*0.4*IF(B623&gt;=5,1.3,1)</f>
        <v/>
      </c>
      <c r="F623" s="6" t="inlineStr">
        <is>
          <t>-</t>
        </is>
      </c>
      <c r="G623" s="6" t="inlineStr"/>
    </row>
    <row r="624">
      <c r="A624" s="6" t="inlineStr">
        <is>
          <t>⚡闪电链</t>
        </is>
      </c>
      <c r="B624" s="6" t="n">
        <v>76</v>
      </c>
      <c r="C624" s="7" t="inlineStr">
        <is>
          <t>闪电链数 +1</t>
        </is>
      </c>
      <c r="D624" s="6">
        <f>B624+1+IF(B624&gt;=3,2,0)</f>
        <v/>
      </c>
      <c r="E624" s="6">
        <f>Config!I11*0.4*IF(B624&gt;=5,1.3,1)</f>
        <v/>
      </c>
      <c r="F624" s="6" t="inlineStr">
        <is>
          <t>-</t>
        </is>
      </c>
      <c r="G624" s="6" t="inlineStr"/>
    </row>
    <row r="625">
      <c r="A625" s="6" t="inlineStr">
        <is>
          <t>⚡闪电链</t>
        </is>
      </c>
      <c r="B625" s="6" t="n">
        <v>77</v>
      </c>
      <c r="C625" s="7" t="inlineStr">
        <is>
          <t>闪电链数 +1</t>
        </is>
      </c>
      <c r="D625" s="6">
        <f>B625+1+IF(B625&gt;=3,2,0)</f>
        <v/>
      </c>
      <c r="E625" s="6">
        <f>Config!I11*0.4*IF(B625&gt;=5,1.3,1)</f>
        <v/>
      </c>
      <c r="F625" s="6" t="inlineStr">
        <is>
          <t>-</t>
        </is>
      </c>
      <c r="G625" s="6" t="inlineStr"/>
    </row>
    <row r="626">
      <c r="A626" s="6" t="inlineStr">
        <is>
          <t>⚡闪电链</t>
        </is>
      </c>
      <c r="B626" s="6" t="n">
        <v>78</v>
      </c>
      <c r="C626" s="7" t="inlineStr">
        <is>
          <t>闪电链数 +1</t>
        </is>
      </c>
      <c r="D626" s="6">
        <f>B626+1+IF(B626&gt;=3,2,0)</f>
        <v/>
      </c>
      <c r="E626" s="6">
        <f>Config!I11*0.4*IF(B626&gt;=5,1.3,1)</f>
        <v/>
      </c>
      <c r="F626" s="6" t="inlineStr">
        <is>
          <t>-</t>
        </is>
      </c>
      <c r="G626" s="6" t="inlineStr"/>
    </row>
    <row r="627">
      <c r="A627" s="6" t="inlineStr">
        <is>
          <t>⚡闪电链</t>
        </is>
      </c>
      <c r="B627" s="6" t="n">
        <v>79</v>
      </c>
      <c r="C627" s="7" t="inlineStr">
        <is>
          <t>闪电链数 +1</t>
        </is>
      </c>
      <c r="D627" s="6">
        <f>B627+1+IF(B627&gt;=3,2,0)</f>
        <v/>
      </c>
      <c r="E627" s="6">
        <f>Config!I11*0.4*IF(B627&gt;=5,1.3,1)</f>
        <v/>
      </c>
      <c r="F627" s="6" t="inlineStr">
        <is>
          <t>-</t>
        </is>
      </c>
      <c r="G627" s="6" t="inlineStr"/>
    </row>
    <row r="628">
      <c r="A628" s="6" t="inlineStr">
        <is>
          <t>⚡闪电链</t>
        </is>
      </c>
      <c r="B628" s="6" t="n">
        <v>80</v>
      </c>
      <c r="C628" s="7" t="inlineStr">
        <is>
          <t>闪电链数 +1</t>
        </is>
      </c>
      <c r="D628" s="6">
        <f>B628+1+IF(B628&gt;=3,2,0)</f>
        <v/>
      </c>
      <c r="E628" s="6">
        <f>Config!I11*0.4*IF(B628&gt;=5,1.3,1)</f>
        <v/>
      </c>
      <c r="F628" s="6" t="inlineStr">
        <is>
          <t>-</t>
        </is>
      </c>
      <c r="G628" s="6" t="inlineStr"/>
    </row>
    <row r="629">
      <c r="A629" s="6" t="inlineStr">
        <is>
          <t>⚡闪电链</t>
        </is>
      </c>
      <c r="B629" s="6" t="n">
        <v>81</v>
      </c>
      <c r="C629" s="7" t="inlineStr">
        <is>
          <t>闪电链数 +1</t>
        </is>
      </c>
      <c r="D629" s="6">
        <f>B629+1+IF(B629&gt;=3,2,0)</f>
        <v/>
      </c>
      <c r="E629" s="6">
        <f>Config!I11*0.4*IF(B629&gt;=5,1.3,1)</f>
        <v/>
      </c>
      <c r="F629" s="6" t="inlineStr">
        <is>
          <t>-</t>
        </is>
      </c>
      <c r="G629" s="6" t="inlineStr"/>
    </row>
    <row r="630">
      <c r="A630" s="6" t="inlineStr">
        <is>
          <t>⚡闪电链</t>
        </is>
      </c>
      <c r="B630" s="6" t="n">
        <v>82</v>
      </c>
      <c r="C630" s="7" t="inlineStr">
        <is>
          <t>闪电链数 +1</t>
        </is>
      </c>
      <c r="D630" s="6">
        <f>B630+1+IF(B630&gt;=3,2,0)</f>
        <v/>
      </c>
      <c r="E630" s="6">
        <f>Config!I11*0.4*IF(B630&gt;=5,1.3,1)</f>
        <v/>
      </c>
      <c r="F630" s="6" t="inlineStr">
        <is>
          <t>-</t>
        </is>
      </c>
      <c r="G630" s="6" t="inlineStr"/>
    </row>
    <row r="631">
      <c r="A631" s="6" t="inlineStr">
        <is>
          <t>⚡闪电链</t>
        </is>
      </c>
      <c r="B631" s="6" t="n">
        <v>83</v>
      </c>
      <c r="C631" s="7" t="inlineStr">
        <is>
          <t>闪电链数 +1</t>
        </is>
      </c>
      <c r="D631" s="6">
        <f>B631+1+IF(B631&gt;=3,2,0)</f>
        <v/>
      </c>
      <c r="E631" s="6">
        <f>Config!I11*0.4*IF(B631&gt;=5,1.3,1)</f>
        <v/>
      </c>
      <c r="F631" s="6" t="inlineStr">
        <is>
          <t>-</t>
        </is>
      </c>
      <c r="G631" s="6" t="inlineStr"/>
    </row>
    <row r="632">
      <c r="A632" s="6" t="inlineStr">
        <is>
          <t>⚡闪电链</t>
        </is>
      </c>
      <c r="B632" s="6" t="n">
        <v>84</v>
      </c>
      <c r="C632" s="7" t="inlineStr">
        <is>
          <t>闪电链数 +1</t>
        </is>
      </c>
      <c r="D632" s="6">
        <f>B632+1+IF(B632&gt;=3,2,0)</f>
        <v/>
      </c>
      <c r="E632" s="6">
        <f>Config!I11*0.4*IF(B632&gt;=5,1.3,1)</f>
        <v/>
      </c>
      <c r="F632" s="6" t="inlineStr">
        <is>
          <t>-</t>
        </is>
      </c>
      <c r="G632" s="6" t="inlineStr"/>
    </row>
    <row r="633">
      <c r="A633" s="6" t="inlineStr">
        <is>
          <t>⚡闪电链</t>
        </is>
      </c>
      <c r="B633" s="6" t="n">
        <v>85</v>
      </c>
      <c r="C633" s="7" t="inlineStr">
        <is>
          <t>闪电链数 +1</t>
        </is>
      </c>
      <c r="D633" s="6">
        <f>B633+1+IF(B633&gt;=3,2,0)</f>
        <v/>
      </c>
      <c r="E633" s="6">
        <f>Config!I11*0.4*IF(B633&gt;=5,1.3,1)</f>
        <v/>
      </c>
      <c r="F633" s="6" t="inlineStr">
        <is>
          <t>-</t>
        </is>
      </c>
      <c r="G633" s="6" t="inlineStr"/>
    </row>
    <row r="634">
      <c r="A634" s="6" t="inlineStr">
        <is>
          <t>⚡闪电链</t>
        </is>
      </c>
      <c r="B634" s="6" t="n">
        <v>86</v>
      </c>
      <c r="C634" s="7" t="inlineStr">
        <is>
          <t>闪电链数 +1</t>
        </is>
      </c>
      <c r="D634" s="6">
        <f>B634+1+IF(B634&gt;=3,2,0)</f>
        <v/>
      </c>
      <c r="E634" s="6">
        <f>Config!I11*0.4*IF(B634&gt;=5,1.3,1)</f>
        <v/>
      </c>
      <c r="F634" s="6" t="inlineStr">
        <is>
          <t>-</t>
        </is>
      </c>
      <c r="G634" s="6" t="inlineStr"/>
    </row>
    <row r="635">
      <c r="A635" s="6" t="inlineStr">
        <is>
          <t>⚡闪电链</t>
        </is>
      </c>
      <c r="B635" s="6" t="n">
        <v>87</v>
      </c>
      <c r="C635" s="7" t="inlineStr">
        <is>
          <t>闪电链数 +1</t>
        </is>
      </c>
      <c r="D635" s="6">
        <f>B635+1+IF(B635&gt;=3,2,0)</f>
        <v/>
      </c>
      <c r="E635" s="6">
        <f>Config!I11*0.4*IF(B635&gt;=5,1.3,1)</f>
        <v/>
      </c>
      <c r="F635" s="6" t="inlineStr">
        <is>
          <t>-</t>
        </is>
      </c>
      <c r="G635" s="6" t="inlineStr"/>
    </row>
    <row r="636">
      <c r="A636" s="6" t="inlineStr">
        <is>
          <t>⚡闪电链</t>
        </is>
      </c>
      <c r="B636" s="6" t="n">
        <v>88</v>
      </c>
      <c r="C636" s="7" t="inlineStr">
        <is>
          <t>闪电链数 +1</t>
        </is>
      </c>
      <c r="D636" s="6">
        <f>B636+1+IF(B636&gt;=3,2,0)</f>
        <v/>
      </c>
      <c r="E636" s="6">
        <f>Config!I11*0.4*IF(B636&gt;=5,1.3,1)</f>
        <v/>
      </c>
      <c r="F636" s="6" t="inlineStr">
        <is>
          <t>-</t>
        </is>
      </c>
      <c r="G636" s="6" t="inlineStr"/>
    </row>
    <row r="637">
      <c r="A637" s="6" t="inlineStr">
        <is>
          <t>⚡闪电链</t>
        </is>
      </c>
      <c r="B637" s="6" t="n">
        <v>89</v>
      </c>
      <c r="C637" s="7" t="inlineStr">
        <is>
          <t>闪电链数 +1</t>
        </is>
      </c>
      <c r="D637" s="6">
        <f>B637+1+IF(B637&gt;=3,2,0)</f>
        <v/>
      </c>
      <c r="E637" s="6">
        <f>Config!I11*0.4*IF(B637&gt;=5,1.3,1)</f>
        <v/>
      </c>
      <c r="F637" s="6" t="inlineStr">
        <is>
          <t>-</t>
        </is>
      </c>
      <c r="G637" s="6" t="inlineStr"/>
    </row>
    <row r="638">
      <c r="A638" s="6" t="inlineStr">
        <is>
          <t>⚡闪电链</t>
        </is>
      </c>
      <c r="B638" s="6" t="n">
        <v>90</v>
      </c>
      <c r="C638" s="7" t="inlineStr">
        <is>
          <t>闪电链数 +1</t>
        </is>
      </c>
      <c r="D638" s="6">
        <f>B638+1+IF(B638&gt;=3,2,0)</f>
        <v/>
      </c>
      <c r="E638" s="6">
        <f>Config!I11*0.4*IF(B638&gt;=5,1.3,1)</f>
        <v/>
      </c>
      <c r="F638" s="6" t="inlineStr">
        <is>
          <t>-</t>
        </is>
      </c>
      <c r="G638" s="6" t="inlineStr"/>
    </row>
    <row r="639">
      <c r="A639" s="6" t="inlineStr">
        <is>
          <t>⚡闪电链</t>
        </is>
      </c>
      <c r="B639" s="6" t="n">
        <v>91</v>
      </c>
      <c r="C639" s="7" t="inlineStr">
        <is>
          <t>闪电链数 +1</t>
        </is>
      </c>
      <c r="D639" s="6">
        <f>B639+1+IF(B639&gt;=3,2,0)</f>
        <v/>
      </c>
      <c r="E639" s="6">
        <f>Config!I11*0.4*IF(B639&gt;=5,1.3,1)</f>
        <v/>
      </c>
      <c r="F639" s="6" t="inlineStr">
        <is>
          <t>-</t>
        </is>
      </c>
      <c r="G639" s="6" t="inlineStr"/>
    </row>
    <row r="640">
      <c r="A640" s="6" t="inlineStr">
        <is>
          <t>⚡闪电链</t>
        </is>
      </c>
      <c r="B640" s="6" t="n">
        <v>92</v>
      </c>
      <c r="C640" s="7" t="inlineStr">
        <is>
          <t>闪电链数 +1</t>
        </is>
      </c>
      <c r="D640" s="6">
        <f>B640+1+IF(B640&gt;=3,2,0)</f>
        <v/>
      </c>
      <c r="E640" s="6">
        <f>Config!I11*0.4*IF(B640&gt;=5,1.3,1)</f>
        <v/>
      </c>
      <c r="F640" s="6" t="inlineStr">
        <is>
          <t>-</t>
        </is>
      </c>
      <c r="G640" s="6" t="inlineStr"/>
    </row>
    <row r="641">
      <c r="A641" s="6" t="inlineStr">
        <is>
          <t>⚡闪电链</t>
        </is>
      </c>
      <c r="B641" s="6" t="n">
        <v>93</v>
      </c>
      <c r="C641" s="7" t="inlineStr">
        <is>
          <t>闪电链数 +1</t>
        </is>
      </c>
      <c r="D641" s="6">
        <f>B641+1+IF(B641&gt;=3,2,0)</f>
        <v/>
      </c>
      <c r="E641" s="6">
        <f>Config!I11*0.4*IF(B641&gt;=5,1.3,1)</f>
        <v/>
      </c>
      <c r="F641" s="6" t="inlineStr">
        <is>
          <t>-</t>
        </is>
      </c>
      <c r="G641" s="6" t="inlineStr"/>
    </row>
    <row r="642">
      <c r="A642" s="6" t="inlineStr">
        <is>
          <t>⚡闪电链</t>
        </is>
      </c>
      <c r="B642" s="6" t="n">
        <v>94</v>
      </c>
      <c r="C642" s="7" t="inlineStr">
        <is>
          <t>闪电链数 +1</t>
        </is>
      </c>
      <c r="D642" s="6">
        <f>B642+1+IF(B642&gt;=3,2,0)</f>
        <v/>
      </c>
      <c r="E642" s="6">
        <f>Config!I11*0.4*IF(B642&gt;=5,1.3,1)</f>
        <v/>
      </c>
      <c r="F642" s="6" t="inlineStr">
        <is>
          <t>-</t>
        </is>
      </c>
      <c r="G642" s="6" t="inlineStr"/>
    </row>
    <row r="643">
      <c r="A643" s="6" t="inlineStr">
        <is>
          <t>⚡闪电链</t>
        </is>
      </c>
      <c r="B643" s="6" t="n">
        <v>95</v>
      </c>
      <c r="C643" s="7" t="inlineStr">
        <is>
          <t>闪电链数 +1</t>
        </is>
      </c>
      <c r="D643" s="6">
        <f>B643+1+IF(B643&gt;=3,2,0)</f>
        <v/>
      </c>
      <c r="E643" s="6">
        <f>Config!I11*0.4*IF(B643&gt;=5,1.3,1)</f>
        <v/>
      </c>
      <c r="F643" s="6" t="inlineStr">
        <is>
          <t>-</t>
        </is>
      </c>
      <c r="G643" s="6" t="inlineStr"/>
    </row>
    <row r="644">
      <c r="A644" s="6" t="inlineStr">
        <is>
          <t>⚡闪电链</t>
        </is>
      </c>
      <c r="B644" s="6" t="n">
        <v>96</v>
      </c>
      <c r="C644" s="7" t="inlineStr">
        <is>
          <t>闪电链数 +1</t>
        </is>
      </c>
      <c r="D644" s="6">
        <f>B644+1+IF(B644&gt;=3,2,0)</f>
        <v/>
      </c>
      <c r="E644" s="6">
        <f>Config!I11*0.4*IF(B644&gt;=5,1.3,1)</f>
        <v/>
      </c>
      <c r="F644" s="6" t="inlineStr">
        <is>
          <t>-</t>
        </is>
      </c>
      <c r="G644" s="6" t="inlineStr"/>
    </row>
    <row r="645">
      <c r="A645" s="6" t="inlineStr">
        <is>
          <t>⚡闪电链</t>
        </is>
      </c>
      <c r="B645" s="6" t="n">
        <v>97</v>
      </c>
      <c r="C645" s="7" t="inlineStr">
        <is>
          <t>闪电链数 +1</t>
        </is>
      </c>
      <c r="D645" s="6">
        <f>B645+1+IF(B645&gt;=3,2,0)</f>
        <v/>
      </c>
      <c r="E645" s="6">
        <f>Config!I11*0.4*IF(B645&gt;=5,1.3,1)</f>
        <v/>
      </c>
      <c r="F645" s="6" t="inlineStr">
        <is>
          <t>-</t>
        </is>
      </c>
      <c r="G645" s="6" t="inlineStr"/>
    </row>
    <row r="646">
      <c r="A646" s="6" t="inlineStr">
        <is>
          <t>⚡闪电链</t>
        </is>
      </c>
      <c r="B646" s="6" t="n">
        <v>98</v>
      </c>
      <c r="C646" s="7" t="inlineStr">
        <is>
          <t>闪电链数 +1</t>
        </is>
      </c>
      <c r="D646" s="6">
        <f>B646+1+IF(B646&gt;=3,2,0)</f>
        <v/>
      </c>
      <c r="E646" s="6">
        <f>Config!I11*0.4*IF(B646&gt;=5,1.3,1)</f>
        <v/>
      </c>
      <c r="F646" s="6" t="inlineStr">
        <is>
          <t>-</t>
        </is>
      </c>
      <c r="G646" s="6" t="inlineStr"/>
    </row>
    <row r="647">
      <c r="A647" s="6" t="inlineStr">
        <is>
          <t>⚡闪电链</t>
        </is>
      </c>
      <c r="B647" s="6" t="n">
        <v>99</v>
      </c>
      <c r="C647" s="7" t="inlineStr">
        <is>
          <t>闪电链数 +1</t>
        </is>
      </c>
      <c r="D647" s="6">
        <f>B647+1+IF(B647&gt;=3,2,0)</f>
        <v/>
      </c>
      <c r="E647" s="6">
        <f>Config!I11*0.4*IF(B647&gt;=5,1.3,1)</f>
        <v/>
      </c>
      <c r="F647" s="6" t="inlineStr">
        <is>
          <t>-</t>
        </is>
      </c>
      <c r="G647" s="6" t="inlineStr"/>
    </row>
    <row r="648">
      <c r="A648" s="6" t="inlineStr">
        <is>
          <t>🛡️护盾</t>
        </is>
      </c>
      <c r="B648" s="6" t="n">
        <v>1</v>
      </c>
      <c r="C648" s="7" t="inlineStr">
        <is>
          <t>受到伤害 −10%</t>
        </is>
      </c>
      <c r="D648" s="6">
        <f>B648*0.1+IF(B648&gt;=3,0.05,0)</f>
        <v/>
      </c>
      <c r="E648" s="6" t="inlineStr">
        <is>
          <t>-</t>
        </is>
      </c>
      <c r="F648" s="6" t="inlineStr">
        <is>
          <t>-</t>
        </is>
      </c>
      <c r="G648" s="6" t="inlineStr"/>
    </row>
    <row r="649">
      <c r="A649" s="6" t="inlineStr">
        <is>
          <t>🛡️护盾</t>
        </is>
      </c>
      <c r="B649" s="6" t="n">
        <v>2</v>
      </c>
      <c r="C649" s="7" t="inlineStr">
        <is>
          <t>受到伤害 −10%</t>
        </is>
      </c>
      <c r="D649" s="6">
        <f>B649*0.1+IF(B649&gt;=3,0.05,0)</f>
        <v/>
      </c>
      <c r="E649" s="6" t="inlineStr">
        <is>
          <t>-</t>
        </is>
      </c>
      <c r="F649" s="6" t="inlineStr">
        <is>
          <t>-</t>
        </is>
      </c>
      <c r="G649" s="6" t="inlineStr"/>
    </row>
    <row r="650">
      <c r="A650" s="8" t="inlineStr">
        <is>
          <t>🛡️护盾</t>
        </is>
      </c>
      <c r="B650" s="8" t="n">
        <v>3</v>
      </c>
      <c r="C650" s="9" t="inlineStr">
        <is>
          <t>减伤额外 +5%</t>
        </is>
      </c>
      <c r="D650" s="8">
        <f>B650*0.1+IF(B650&gt;=3,0.05,0)</f>
        <v/>
      </c>
      <c r="E650" s="8" t="inlineStr">
        <is>
          <t>-</t>
        </is>
      </c>
      <c r="F650" s="8" t="inlineStr">
        <is>
          <t>-</t>
        </is>
      </c>
      <c r="G650" s="8" t="inlineStr">
        <is>
          <t>★Lv3质变</t>
        </is>
      </c>
    </row>
    <row r="651">
      <c r="A651" s="6" t="inlineStr">
        <is>
          <t>🛡️护盾</t>
        </is>
      </c>
      <c r="B651" s="6" t="n">
        <v>4</v>
      </c>
      <c r="C651" s="7" t="inlineStr">
        <is>
          <t>受到伤害 −10%</t>
        </is>
      </c>
      <c r="D651" s="6">
        <f>B651*0.1+IF(B651&gt;=3,0.05,0)</f>
        <v/>
      </c>
      <c r="E651" s="6" t="inlineStr">
        <is>
          <t>-</t>
        </is>
      </c>
      <c r="F651" s="6" t="inlineStr">
        <is>
          <t>-</t>
        </is>
      </c>
      <c r="G651" s="6" t="inlineStr"/>
    </row>
    <row r="652">
      <c r="A652" s="8" t="inlineStr">
        <is>
          <t>🛡️护盾</t>
        </is>
      </c>
      <c r="B652" s="8" t="n">
        <v>5</v>
      </c>
      <c r="C652" s="9" t="inlineStr">
        <is>
          <t>受击反弹 10%</t>
        </is>
      </c>
      <c r="D652" s="8">
        <f>B652*0.1+IF(B652&gt;=3,0.05,0)</f>
        <v/>
      </c>
      <c r="E652" s="8" t="inlineStr">
        <is>
          <t>-</t>
        </is>
      </c>
      <c r="F652" s="8" t="inlineStr">
        <is>
          <t>-</t>
        </is>
      </c>
      <c r="G652" s="8" t="inlineStr">
        <is>
          <t>★Lv5质变</t>
        </is>
      </c>
    </row>
    <row r="653">
      <c r="A653" s="6" t="inlineStr">
        <is>
          <t>🛡️护盾</t>
        </is>
      </c>
      <c r="B653" s="6" t="n">
        <v>6</v>
      </c>
      <c r="C653" s="7" t="inlineStr">
        <is>
          <t>受到伤害 −10%</t>
        </is>
      </c>
      <c r="D653" s="6">
        <f>B653*0.1+IF(B653&gt;=3,0.05,0)</f>
        <v/>
      </c>
      <c r="E653" s="6" t="inlineStr">
        <is>
          <t>-</t>
        </is>
      </c>
      <c r="F653" s="6" t="inlineStr">
        <is>
          <t>-</t>
        </is>
      </c>
      <c r="G653" s="6" t="inlineStr"/>
    </row>
    <row r="654">
      <c r="A654" s="6" t="inlineStr">
        <is>
          <t>🛡️护盾</t>
        </is>
      </c>
      <c r="B654" s="6" t="n">
        <v>7</v>
      </c>
      <c r="C654" s="7" t="inlineStr">
        <is>
          <t>受到伤害 −10%</t>
        </is>
      </c>
      <c r="D654" s="6">
        <f>B654*0.1+IF(B654&gt;=3,0.05,0)</f>
        <v/>
      </c>
      <c r="E654" s="6" t="inlineStr">
        <is>
          <t>-</t>
        </is>
      </c>
      <c r="F654" s="6" t="inlineStr">
        <is>
          <t>-</t>
        </is>
      </c>
      <c r="G654" s="6" t="inlineStr"/>
    </row>
    <row r="655">
      <c r="A655" s="6" t="inlineStr">
        <is>
          <t>🛡️护盾</t>
        </is>
      </c>
      <c r="B655" s="6" t="n">
        <v>8</v>
      </c>
      <c r="C655" s="7" t="inlineStr">
        <is>
          <t>受到伤害 −10%</t>
        </is>
      </c>
      <c r="D655" s="6">
        <f>B655*0.1+IF(B655&gt;=3,0.05,0)</f>
        <v/>
      </c>
      <c r="E655" s="6" t="inlineStr">
        <is>
          <t>-</t>
        </is>
      </c>
      <c r="F655" s="6" t="inlineStr">
        <is>
          <t>-</t>
        </is>
      </c>
      <c r="G655" s="6" t="inlineStr"/>
    </row>
    <row r="656">
      <c r="A656" s="6" t="inlineStr">
        <is>
          <t>💢致命暴击</t>
        </is>
      </c>
      <c r="B656" s="6" t="n">
        <v>1</v>
      </c>
      <c r="C656" s="7" t="inlineStr">
        <is>
          <t>暴击率 +5%</t>
        </is>
      </c>
      <c r="D656" s="6">
        <f>MIN(0.6,B656*0.05)</f>
        <v/>
      </c>
      <c r="E656" s="6">
        <f>1+B656*0.1+IF(B656&gt;=3,0.2,0)</f>
        <v/>
      </c>
      <c r="F656" s="6" t="inlineStr">
        <is>
          <t>-</t>
        </is>
      </c>
      <c r="G656" s="6" t="inlineStr"/>
    </row>
    <row r="657">
      <c r="A657" s="6" t="inlineStr">
        <is>
          <t>💢致命暴击</t>
        </is>
      </c>
      <c r="B657" s="6" t="n">
        <v>2</v>
      </c>
      <c r="C657" s="7" t="inlineStr">
        <is>
          <t>暴击率 +5%</t>
        </is>
      </c>
      <c r="D657" s="6">
        <f>MIN(0.6,B657*0.05)</f>
        <v/>
      </c>
      <c r="E657" s="6">
        <f>1+B657*0.1+IF(B657&gt;=3,0.2,0)</f>
        <v/>
      </c>
      <c r="F657" s="6" t="inlineStr">
        <is>
          <t>-</t>
        </is>
      </c>
      <c r="G657" s="6" t="inlineStr"/>
    </row>
    <row r="658">
      <c r="A658" s="8" t="inlineStr">
        <is>
          <t>💢致命暴击</t>
        </is>
      </c>
      <c r="B658" s="8" t="n">
        <v>3</v>
      </c>
      <c r="C658" s="9" t="inlineStr">
        <is>
          <t>暴击伤害 +20%</t>
        </is>
      </c>
      <c r="D658" s="8">
        <f>MIN(0.6,B658*0.05)</f>
        <v/>
      </c>
      <c r="E658" s="8">
        <f>1+B658*0.1+IF(B658&gt;=3,0.2,0)</f>
        <v/>
      </c>
      <c r="F658" s="8" t="inlineStr">
        <is>
          <t>-</t>
        </is>
      </c>
      <c r="G658" s="8" t="inlineStr">
        <is>
          <t>★Lv3质变</t>
        </is>
      </c>
    </row>
    <row r="659">
      <c r="A659" s="6" t="inlineStr">
        <is>
          <t>💢致命暴击</t>
        </is>
      </c>
      <c r="B659" s="6" t="n">
        <v>4</v>
      </c>
      <c r="C659" s="7" t="inlineStr">
        <is>
          <t>暴击率 +5%</t>
        </is>
      </c>
      <c r="D659" s="6">
        <f>MIN(0.6,B659*0.05)</f>
        <v/>
      </c>
      <c r="E659" s="6">
        <f>1+B659*0.1+IF(B659&gt;=3,0.2,0)</f>
        <v/>
      </c>
      <c r="F659" s="6" t="inlineStr">
        <is>
          <t>-</t>
        </is>
      </c>
      <c r="G659" s="6" t="inlineStr"/>
    </row>
    <row r="660">
      <c r="A660" s="8" t="inlineStr">
        <is>
          <t>💢致命暴击</t>
        </is>
      </c>
      <c r="B660" s="8" t="n">
        <v>5</v>
      </c>
      <c r="C660" s="9" t="inlineStr">
        <is>
          <t>暴击触发小爆炸</t>
        </is>
      </c>
      <c r="D660" s="8">
        <f>MIN(0.6,B660*0.05)</f>
        <v/>
      </c>
      <c r="E660" s="8">
        <f>1+B660*0.1+IF(B660&gt;=3,0.2,0)</f>
        <v/>
      </c>
      <c r="F660" s="8" t="inlineStr">
        <is>
          <t>-</t>
        </is>
      </c>
      <c r="G660" s="8" t="inlineStr">
        <is>
          <t>★Lv5质变</t>
        </is>
      </c>
    </row>
    <row r="661">
      <c r="A661" s="6" t="inlineStr">
        <is>
          <t>💢致命暴击</t>
        </is>
      </c>
      <c r="B661" s="6" t="n">
        <v>6</v>
      </c>
      <c r="C661" s="7" t="inlineStr">
        <is>
          <t>暴击率 +5%</t>
        </is>
      </c>
      <c r="D661" s="6">
        <f>MIN(0.6,B661*0.05)</f>
        <v/>
      </c>
      <c r="E661" s="6">
        <f>1+B661*0.1+IF(B661&gt;=3,0.2,0)</f>
        <v/>
      </c>
      <c r="F661" s="6" t="inlineStr">
        <is>
          <t>-</t>
        </is>
      </c>
      <c r="G661" s="6" t="inlineStr"/>
    </row>
    <row r="662">
      <c r="A662" s="6" t="inlineStr">
        <is>
          <t>💢致命暴击</t>
        </is>
      </c>
      <c r="B662" s="6" t="n">
        <v>7</v>
      </c>
      <c r="C662" s="7" t="inlineStr">
        <is>
          <t>暴击率 +5%</t>
        </is>
      </c>
      <c r="D662" s="6">
        <f>MIN(0.6,B662*0.05)</f>
        <v/>
      </c>
      <c r="E662" s="6">
        <f>1+B662*0.1+IF(B662&gt;=3,0.2,0)</f>
        <v/>
      </c>
      <c r="F662" s="6" t="inlineStr">
        <is>
          <t>-</t>
        </is>
      </c>
      <c r="G662" s="6" t="inlineStr"/>
    </row>
    <row r="663">
      <c r="A663" s="6" t="inlineStr">
        <is>
          <t>💢致命暴击</t>
        </is>
      </c>
      <c r="B663" s="6" t="n">
        <v>8</v>
      </c>
      <c r="C663" s="7" t="inlineStr">
        <is>
          <t>暴击率 +5%</t>
        </is>
      </c>
      <c r="D663" s="6">
        <f>MIN(0.6,B663*0.05)</f>
        <v/>
      </c>
      <c r="E663" s="6">
        <f>1+B663*0.1+IF(B663&gt;=3,0.2,0)</f>
        <v/>
      </c>
      <c r="F663" s="6" t="inlineStr">
        <is>
          <t>-</t>
        </is>
      </c>
      <c r="G663" s="6" t="inlineStr"/>
    </row>
    <row r="664">
      <c r="A664" s="6" t="inlineStr">
        <is>
          <t>💢致命暴击</t>
        </is>
      </c>
      <c r="B664" s="6" t="n">
        <v>9</v>
      </c>
      <c r="C664" s="7" t="inlineStr">
        <is>
          <t>暴击率 +5%</t>
        </is>
      </c>
      <c r="D664" s="6">
        <f>MIN(0.6,B664*0.05)</f>
        <v/>
      </c>
      <c r="E664" s="6">
        <f>1+B664*0.1+IF(B664&gt;=3,0.2,0)</f>
        <v/>
      </c>
      <c r="F664" s="6" t="inlineStr">
        <is>
          <t>-</t>
        </is>
      </c>
      <c r="G664" s="6" t="inlineStr"/>
    </row>
    <row r="665">
      <c r="A665" s="6" t="inlineStr">
        <is>
          <t>💢致命暴击</t>
        </is>
      </c>
      <c r="B665" s="6" t="n">
        <v>10</v>
      </c>
      <c r="C665" s="7" t="inlineStr">
        <is>
          <t>暴击率 +5%</t>
        </is>
      </c>
      <c r="D665" s="6">
        <f>MIN(0.6,B665*0.05)</f>
        <v/>
      </c>
      <c r="E665" s="6">
        <f>1+B665*0.1+IF(B665&gt;=3,0.2,0)</f>
        <v/>
      </c>
      <c r="F665" s="6" t="inlineStr">
        <is>
          <t>-</t>
        </is>
      </c>
      <c r="G665" s="6" t="inlineStr"/>
    </row>
    <row r="666">
      <c r="A666" s="6" t="inlineStr">
        <is>
          <t>💢致命暴击</t>
        </is>
      </c>
      <c r="B666" s="6" t="n">
        <v>11</v>
      </c>
      <c r="C666" s="7" t="inlineStr">
        <is>
          <t>暴击率 +5%</t>
        </is>
      </c>
      <c r="D666" s="6">
        <f>MIN(0.6,B666*0.05)</f>
        <v/>
      </c>
      <c r="E666" s="6">
        <f>1+B666*0.1+IF(B666&gt;=3,0.2,0)</f>
        <v/>
      </c>
      <c r="F666" s="6" t="inlineStr">
        <is>
          <t>-</t>
        </is>
      </c>
      <c r="G666" s="6" t="inlineStr"/>
    </row>
    <row r="667">
      <c r="A667" s="6" t="inlineStr">
        <is>
          <t>💢致命暴击</t>
        </is>
      </c>
      <c r="B667" s="6" t="n">
        <v>12</v>
      </c>
      <c r="C667" s="7" t="inlineStr">
        <is>
          <t>暴击率 +5%</t>
        </is>
      </c>
      <c r="D667" s="6">
        <f>MIN(0.6,B667*0.05)</f>
        <v/>
      </c>
      <c r="E667" s="6">
        <f>1+B667*0.1+IF(B667&gt;=3,0.2,0)</f>
        <v/>
      </c>
      <c r="F667" s="6" t="inlineStr">
        <is>
          <t>-</t>
        </is>
      </c>
      <c r="G667" s="6" t="inlineStr"/>
    </row>
    <row r="668">
      <c r="A668" s="6" t="inlineStr">
        <is>
          <t>❄️冰霜弹</t>
        </is>
      </c>
      <c r="B668" s="6" t="n">
        <v>1</v>
      </c>
      <c r="C668" s="7" t="inlineStr">
        <is>
          <t>冰冻几率 +6%</t>
        </is>
      </c>
      <c r="D668" s="6">
        <f>MIN(0.5,B668*0.06)</f>
        <v/>
      </c>
      <c r="E668" s="6">
        <f>MIN(2600,1000+120*B668)</f>
        <v/>
      </c>
      <c r="F668" s="6" t="inlineStr">
        <is>
          <t>-</t>
        </is>
      </c>
      <c r="G668" s="6" t="inlineStr"/>
    </row>
    <row r="669">
      <c r="A669" s="6" t="inlineStr">
        <is>
          <t>❄️冰霜弹</t>
        </is>
      </c>
      <c r="B669" s="6" t="n">
        <v>2</v>
      </c>
      <c r="C669" s="7" t="inlineStr">
        <is>
          <t>冰冻几率 +6%</t>
        </is>
      </c>
      <c r="D669" s="6">
        <f>MIN(0.5,B669*0.06)</f>
        <v/>
      </c>
      <c r="E669" s="6">
        <f>MIN(2600,1000+120*B669)</f>
        <v/>
      </c>
      <c r="F669" s="6" t="inlineStr">
        <is>
          <t>-</t>
        </is>
      </c>
      <c r="G669" s="6" t="inlineStr"/>
    </row>
    <row r="670">
      <c r="A670" s="8" t="inlineStr">
        <is>
          <t>❄️冰霜弹</t>
        </is>
      </c>
      <c r="B670" s="8" t="n">
        <v>3</v>
      </c>
      <c r="C670" s="9" t="inlineStr">
        <is>
          <t>冰冻残留减速</t>
        </is>
      </c>
      <c r="D670" s="8">
        <f>MIN(0.5,B670*0.06)</f>
        <v/>
      </c>
      <c r="E670" s="8">
        <f>MIN(2600,1000+120*B670)</f>
        <v/>
      </c>
      <c r="F670" s="8" t="inlineStr">
        <is>
          <t>-</t>
        </is>
      </c>
      <c r="G670" s="8" t="inlineStr">
        <is>
          <t>★Lv3质变</t>
        </is>
      </c>
    </row>
    <row r="671">
      <c r="A671" s="6" t="inlineStr">
        <is>
          <t>❄️冰霜弹</t>
        </is>
      </c>
      <c r="B671" s="6" t="n">
        <v>4</v>
      </c>
      <c r="C671" s="7" t="inlineStr">
        <is>
          <t>冰冻几率 +6%</t>
        </is>
      </c>
      <c r="D671" s="6">
        <f>MIN(0.5,B671*0.06)</f>
        <v/>
      </c>
      <c r="E671" s="6">
        <f>MIN(2600,1000+120*B671)</f>
        <v/>
      </c>
      <c r="F671" s="6" t="inlineStr">
        <is>
          <t>-</t>
        </is>
      </c>
      <c r="G671" s="6" t="inlineStr"/>
    </row>
    <row r="672">
      <c r="A672" s="8" t="inlineStr">
        <is>
          <t>❄️冰霜弹</t>
        </is>
      </c>
      <c r="B672" s="8" t="n">
        <v>5</v>
      </c>
      <c r="C672" s="9" t="inlineStr">
        <is>
          <t>20% 几率眩晕</t>
        </is>
      </c>
      <c r="D672" s="8">
        <f>MIN(0.5,B672*0.06)</f>
        <v/>
      </c>
      <c r="E672" s="8">
        <f>MIN(2600,1000+120*B672)</f>
        <v/>
      </c>
      <c r="F672" s="8" t="inlineStr">
        <is>
          <t>-</t>
        </is>
      </c>
      <c r="G672" s="8" t="inlineStr">
        <is>
          <t>★Lv5质变</t>
        </is>
      </c>
    </row>
    <row r="673">
      <c r="A673" s="6" t="inlineStr">
        <is>
          <t>❄️冰霜弹</t>
        </is>
      </c>
      <c r="B673" s="6" t="n">
        <v>6</v>
      </c>
      <c r="C673" s="7" t="inlineStr">
        <is>
          <t>冰冻几率 +6%</t>
        </is>
      </c>
      <c r="D673" s="6">
        <f>MIN(0.5,B673*0.06)</f>
        <v/>
      </c>
      <c r="E673" s="6">
        <f>MIN(2600,1000+120*B673)</f>
        <v/>
      </c>
      <c r="F673" s="6" t="inlineStr">
        <is>
          <t>-</t>
        </is>
      </c>
      <c r="G673" s="6" t="inlineStr"/>
    </row>
    <row r="674">
      <c r="A674" s="6" t="inlineStr">
        <is>
          <t>❄️冰霜弹</t>
        </is>
      </c>
      <c r="B674" s="6" t="n">
        <v>7</v>
      </c>
      <c r="C674" s="7" t="inlineStr">
        <is>
          <t>冰冻几率 +6%</t>
        </is>
      </c>
      <c r="D674" s="6">
        <f>MIN(0.5,B674*0.06)</f>
        <v/>
      </c>
      <c r="E674" s="6">
        <f>MIN(2600,1000+120*B674)</f>
        <v/>
      </c>
      <c r="F674" s="6" t="inlineStr">
        <is>
          <t>-</t>
        </is>
      </c>
      <c r="G674" s="6" t="inlineStr"/>
    </row>
    <row r="675">
      <c r="A675" s="6" t="inlineStr">
        <is>
          <t>❄️冰霜弹</t>
        </is>
      </c>
      <c r="B675" s="6" t="n">
        <v>8</v>
      </c>
      <c r="C675" s="7" t="inlineStr">
        <is>
          <t>冰冻几率 +6%</t>
        </is>
      </c>
      <c r="D675" s="6">
        <f>MIN(0.5,B675*0.06)</f>
        <v/>
      </c>
      <c r="E675" s="6">
        <f>MIN(2600,1000+120*B675)</f>
        <v/>
      </c>
      <c r="F675" s="6" t="inlineStr">
        <is>
          <t>-</t>
        </is>
      </c>
      <c r="G675" s="6" t="inlineStr"/>
    </row>
    <row r="676">
      <c r="A676" s="6" t="inlineStr">
        <is>
          <t>🐌缓速弹</t>
        </is>
      </c>
      <c r="B676" s="6" t="n">
        <v>1</v>
      </c>
      <c r="C676" s="7" t="inlineStr">
        <is>
          <t>减速几率 +8%</t>
        </is>
      </c>
      <c r="D676" s="6">
        <f>MIN(0.6,B676*0.08)</f>
        <v/>
      </c>
      <c r="E676" s="6">
        <f>MAX(0.3,0.7-0.04*B676-IF(B676&gt;=3,0.1,0))</f>
        <v/>
      </c>
      <c r="F676" s="6" t="inlineStr">
        <is>
          <t>-</t>
        </is>
      </c>
      <c r="G676" s="6" t="inlineStr"/>
    </row>
    <row r="677">
      <c r="A677" s="6" t="inlineStr">
        <is>
          <t>🐌缓速弹</t>
        </is>
      </c>
      <c r="B677" s="6" t="n">
        <v>2</v>
      </c>
      <c r="C677" s="7" t="inlineStr">
        <is>
          <t>减速几率 +8%</t>
        </is>
      </c>
      <c r="D677" s="6">
        <f>MIN(0.6,B677*0.08)</f>
        <v/>
      </c>
      <c r="E677" s="6">
        <f>MAX(0.3,0.7-0.04*B677-IF(B677&gt;=3,0.1,0))</f>
        <v/>
      </c>
      <c r="F677" s="6" t="inlineStr">
        <is>
          <t>-</t>
        </is>
      </c>
      <c r="G677" s="6" t="inlineStr"/>
    </row>
    <row r="678">
      <c r="A678" s="8" t="inlineStr">
        <is>
          <t>🐌缓速弹</t>
        </is>
      </c>
      <c r="B678" s="8" t="n">
        <v>3</v>
      </c>
      <c r="C678" s="9" t="inlineStr">
        <is>
          <t>减速更强(因子再 −0.1)</t>
        </is>
      </c>
      <c r="D678" s="8">
        <f>MIN(0.6,B678*0.08)</f>
        <v/>
      </c>
      <c r="E678" s="8">
        <f>MAX(0.3,0.7-0.04*B678-IF(B678&gt;=3,0.1,0))</f>
        <v/>
      </c>
      <c r="F678" s="8" t="inlineStr">
        <is>
          <t>-</t>
        </is>
      </c>
      <c r="G678" s="8" t="inlineStr">
        <is>
          <t>★Lv3质变</t>
        </is>
      </c>
    </row>
    <row r="679">
      <c r="A679" s="6" t="inlineStr">
        <is>
          <t>🐌缓速弹</t>
        </is>
      </c>
      <c r="B679" s="6" t="n">
        <v>4</v>
      </c>
      <c r="C679" s="7" t="inlineStr">
        <is>
          <t>减速几率 +8%</t>
        </is>
      </c>
      <c r="D679" s="6">
        <f>MIN(0.6,B679*0.08)</f>
        <v/>
      </c>
      <c r="E679" s="6">
        <f>MAX(0.3,0.7-0.04*B679-IF(B679&gt;=3,0.1,0))</f>
        <v/>
      </c>
      <c r="F679" s="6" t="inlineStr">
        <is>
          <t>-</t>
        </is>
      </c>
      <c r="G679" s="6" t="inlineStr"/>
    </row>
    <row r="680">
      <c r="A680" s="8" t="inlineStr">
        <is>
          <t>🐌缓速弹</t>
        </is>
      </c>
      <c r="B680" s="8" t="n">
        <v>5</v>
      </c>
      <c r="C680" s="9" t="inlineStr">
        <is>
          <t>减速标记易感</t>
        </is>
      </c>
      <c r="D680" s="8">
        <f>MIN(0.6,B680*0.08)</f>
        <v/>
      </c>
      <c r="E680" s="8">
        <f>MAX(0.3,0.7-0.04*B680-IF(B680&gt;=3,0.1,0))</f>
        <v/>
      </c>
      <c r="F680" s="8" t="inlineStr">
        <is>
          <t>-</t>
        </is>
      </c>
      <c r="G680" s="8" t="inlineStr">
        <is>
          <t>★Lv5质变</t>
        </is>
      </c>
    </row>
    <row r="681">
      <c r="A681" s="6" t="inlineStr">
        <is>
          <t>🐌缓速弹</t>
        </is>
      </c>
      <c r="B681" s="6" t="n">
        <v>6</v>
      </c>
      <c r="C681" s="7" t="inlineStr">
        <is>
          <t>减速几率 +8%</t>
        </is>
      </c>
      <c r="D681" s="6">
        <f>MIN(0.6,B681*0.08)</f>
        <v/>
      </c>
      <c r="E681" s="6">
        <f>MAX(0.3,0.7-0.04*B681-IF(B681&gt;=3,0.1,0))</f>
        <v/>
      </c>
      <c r="F681" s="6" t="inlineStr">
        <is>
          <t>-</t>
        </is>
      </c>
      <c r="G681" s="6" t="inlineStr"/>
    </row>
    <row r="682">
      <c r="A682" s="6" t="inlineStr">
        <is>
          <t>🐌缓速弹</t>
        </is>
      </c>
      <c r="B682" s="6" t="n">
        <v>7</v>
      </c>
      <c r="C682" s="7" t="inlineStr">
        <is>
          <t>减速几率 +8%</t>
        </is>
      </c>
      <c r="D682" s="6">
        <f>MIN(0.6,B682*0.08)</f>
        <v/>
      </c>
      <c r="E682" s="6">
        <f>MAX(0.3,0.7-0.04*B682-IF(B682&gt;=3,0.1,0))</f>
        <v/>
      </c>
      <c r="F682" s="6" t="inlineStr">
        <is>
          <t>-</t>
        </is>
      </c>
      <c r="G682" s="6" t="inlineStr"/>
    </row>
    <row r="683">
      <c r="A683" s="6" t="inlineStr">
        <is>
          <t>🐌缓速弹</t>
        </is>
      </c>
      <c r="B683" s="6" t="n">
        <v>8</v>
      </c>
      <c r="C683" s="7" t="inlineStr">
        <is>
          <t>减速几率 +8%</t>
        </is>
      </c>
      <c r="D683" s="6">
        <f>MIN(0.6,B683*0.08)</f>
        <v/>
      </c>
      <c r="E683" s="6">
        <f>MAX(0.3,0.7-0.04*B683-IF(B683&gt;=3,0.1,0))</f>
        <v/>
      </c>
      <c r="F683" s="6" t="inlineStr">
        <is>
          <t>-</t>
        </is>
      </c>
      <c r="G683" s="6" t="inlineStr"/>
    </row>
    <row r="684">
      <c r="A684" s="6" t="inlineStr">
        <is>
          <t>💣地雷</t>
        </is>
      </c>
      <c r="B684" s="6" t="n">
        <v>1</v>
      </c>
      <c r="C684" s="7" t="inlineStr">
        <is>
          <t>地雷数量 +1；半径 +12</t>
        </is>
      </c>
      <c r="D684" s="6">
        <f>2+B684</f>
        <v/>
      </c>
      <c r="E684" s="6">
        <f>40+12*B684</f>
        <v/>
      </c>
      <c r="F684" s="6">
        <f>Config!I16*(0.5+0.12*B684)*2*IF(B684&gt;=3,1.5,1)</f>
        <v/>
      </c>
      <c r="G684" s="6" t="inlineStr"/>
    </row>
    <row r="685">
      <c r="A685" s="6" t="inlineStr">
        <is>
          <t>💣地雷</t>
        </is>
      </c>
      <c r="B685" s="6" t="n">
        <v>2</v>
      </c>
      <c r="C685" s="7" t="inlineStr">
        <is>
          <t>地雷数量 +1；半径 +12</t>
        </is>
      </c>
      <c r="D685" s="6">
        <f>2+B685</f>
        <v/>
      </c>
      <c r="E685" s="6">
        <f>40+12*B685</f>
        <v/>
      </c>
      <c r="F685" s="6">
        <f>Config!I16*(0.5+0.12*B685)*2*IF(B685&gt;=3,1.5,1)</f>
        <v/>
      </c>
      <c r="G685" s="6" t="inlineStr"/>
    </row>
    <row r="686">
      <c r="A686" s="8" t="inlineStr">
        <is>
          <t>💣地雷</t>
        </is>
      </c>
      <c r="B686" s="8" t="n">
        <v>3</v>
      </c>
      <c r="C686" s="9" t="inlineStr">
        <is>
          <t>伤害 +50%</t>
        </is>
      </c>
      <c r="D686" s="8">
        <f>2+B686</f>
        <v/>
      </c>
      <c r="E686" s="8">
        <f>40+12*B686</f>
        <v/>
      </c>
      <c r="F686" s="8">
        <f>Config!I16*(0.5+0.12*B686)*2*IF(B686&gt;=3,1.5,1)</f>
        <v/>
      </c>
      <c r="G686" s="8" t="inlineStr">
        <is>
          <t>★Lv3质变</t>
        </is>
      </c>
    </row>
    <row r="687">
      <c r="A687" s="6" t="inlineStr">
        <is>
          <t>💣地雷</t>
        </is>
      </c>
      <c r="B687" s="6" t="n">
        <v>4</v>
      </c>
      <c r="C687" s="7" t="inlineStr">
        <is>
          <t>地雷数量 +1；半径 +12</t>
        </is>
      </c>
      <c r="D687" s="6">
        <f>2+B687</f>
        <v/>
      </c>
      <c r="E687" s="6">
        <f>40+12*B687</f>
        <v/>
      </c>
      <c r="F687" s="6">
        <f>Config!I16*(0.5+0.12*B687)*2*IF(B687&gt;=3,1.5,1)</f>
        <v/>
      </c>
      <c r="G687" s="6" t="inlineStr"/>
    </row>
    <row r="688">
      <c r="A688" s="8" t="inlineStr">
        <is>
          <t>💣地雷</t>
        </is>
      </c>
      <c r="B688" s="8" t="n">
        <v>5</v>
      </c>
      <c r="C688" s="9" t="inlineStr">
        <is>
          <t>爆炸附加减速</t>
        </is>
      </c>
      <c r="D688" s="8">
        <f>2+B688</f>
        <v/>
      </c>
      <c r="E688" s="8">
        <f>40+12*B688</f>
        <v/>
      </c>
      <c r="F688" s="8">
        <f>Config!I16*(0.5+0.12*B688)*2*IF(B688&gt;=3,1.5,1)</f>
        <v/>
      </c>
      <c r="G688" s="8" t="inlineStr">
        <is>
          <t>★Lv5质变</t>
        </is>
      </c>
    </row>
    <row r="689">
      <c r="A689" s="6" t="inlineStr">
        <is>
          <t>💣地雷</t>
        </is>
      </c>
      <c r="B689" s="6" t="n">
        <v>6</v>
      </c>
      <c r="C689" s="7" t="inlineStr">
        <is>
          <t>地雷数量 +1；半径 +12</t>
        </is>
      </c>
      <c r="D689" s="6">
        <f>2+B689</f>
        <v/>
      </c>
      <c r="E689" s="6">
        <f>40+12*B689</f>
        <v/>
      </c>
      <c r="F689" s="6">
        <f>Config!I16*(0.5+0.12*B689)*2*IF(B689&gt;=3,1.5,1)</f>
        <v/>
      </c>
      <c r="G689" s="6" t="inlineStr"/>
    </row>
    <row r="690">
      <c r="A690" s="6" t="inlineStr">
        <is>
          <t>💣地雷</t>
        </is>
      </c>
      <c r="B690" s="6" t="n">
        <v>7</v>
      </c>
      <c r="C690" s="7" t="inlineStr">
        <is>
          <t>地雷数量 +1；半径 +12</t>
        </is>
      </c>
      <c r="D690" s="6">
        <f>2+B690</f>
        <v/>
      </c>
      <c r="E690" s="6">
        <f>40+12*B690</f>
        <v/>
      </c>
      <c r="F690" s="6">
        <f>Config!I16*(0.5+0.12*B690)*2*IF(B690&gt;=3,1.5,1)</f>
        <v/>
      </c>
      <c r="G690" s="6" t="inlineStr"/>
    </row>
    <row r="691">
      <c r="A691" s="6" t="inlineStr">
        <is>
          <t>💣地雷</t>
        </is>
      </c>
      <c r="B691" s="6" t="n">
        <v>8</v>
      </c>
      <c r="C691" s="7" t="inlineStr">
        <is>
          <t>地雷数量 +1；半径 +12</t>
        </is>
      </c>
      <c r="D691" s="6">
        <f>2+B691</f>
        <v/>
      </c>
      <c r="E691" s="6">
        <f>40+12*B691</f>
        <v/>
      </c>
      <c r="F691" s="6">
        <f>Config!I16*(0.5+0.12*B691)*2*IF(B691&gt;=3,1.5,1)</f>
        <v/>
      </c>
      <c r="G691" s="6" t="inlineStr"/>
    </row>
    <row r="692">
      <c r="A692" s="6" t="inlineStr">
        <is>
          <t>💣地雷</t>
        </is>
      </c>
      <c r="B692" s="6" t="n">
        <v>9</v>
      </c>
      <c r="C692" s="7" t="inlineStr">
        <is>
          <t>地雷数量 +1；半径 +12</t>
        </is>
      </c>
      <c r="D692" s="6">
        <f>2+B692</f>
        <v/>
      </c>
      <c r="E692" s="6">
        <f>40+12*B692</f>
        <v/>
      </c>
      <c r="F692" s="6">
        <f>Config!I16*(0.5+0.12*B692)*2*IF(B692&gt;=3,1.5,1)</f>
        <v/>
      </c>
      <c r="G692" s="6" t="inlineStr"/>
    </row>
    <row r="693">
      <c r="A693" s="6" t="inlineStr">
        <is>
          <t>💣地雷</t>
        </is>
      </c>
      <c r="B693" s="6" t="n">
        <v>10</v>
      </c>
      <c r="C693" s="7" t="inlineStr">
        <is>
          <t>地雷数量 +1；半径 +12</t>
        </is>
      </c>
      <c r="D693" s="6">
        <f>2+B693</f>
        <v/>
      </c>
      <c r="E693" s="6">
        <f>40+12*B693</f>
        <v/>
      </c>
      <c r="F693" s="6">
        <f>Config!I16*(0.5+0.12*B693)*2*IF(B693&gt;=3,1.5,1)</f>
        <v/>
      </c>
      <c r="G693" s="6" t="inlineStr"/>
    </row>
    <row r="694">
      <c r="A694" s="6" t="inlineStr">
        <is>
          <t>🛢️油渍</t>
        </is>
      </c>
      <c r="B694" s="6" t="n">
        <v>1</v>
      </c>
      <c r="C694" s="7" t="inlineStr">
        <is>
          <t>油渍数量 +1；半径 ×1.1 复合成长</t>
        </is>
      </c>
      <c r="D694" s="6">
        <f>1+B694+IF(B694&gt;=5,1,0)</f>
        <v/>
      </c>
      <c r="E694" s="6">
        <f>52.2*1.1^(B694-1)</f>
        <v/>
      </c>
      <c r="F694" s="6">
        <f>Config!I17*(1+IF(B694&gt;=3,1,0))</f>
        <v/>
      </c>
      <c r="G694" s="6" t="inlineStr"/>
    </row>
    <row r="695">
      <c r="A695" s="6" t="inlineStr">
        <is>
          <t>🛢️油渍</t>
        </is>
      </c>
      <c r="B695" s="6" t="n">
        <v>2</v>
      </c>
      <c r="C695" s="7" t="inlineStr">
        <is>
          <t>油渍数量 +1；半径 ×1.1 复合成长</t>
        </is>
      </c>
      <c r="D695" s="6">
        <f>1+B695+IF(B695&gt;=5,1,0)</f>
        <v/>
      </c>
      <c r="E695" s="6">
        <f>52.2*1.1^(B695-1)</f>
        <v/>
      </c>
      <c r="F695" s="6">
        <f>Config!I17*(1+IF(B695&gt;=3,1,0))</f>
        <v/>
      </c>
      <c r="G695" s="6" t="inlineStr"/>
    </row>
    <row r="696">
      <c r="A696" s="8" t="inlineStr">
        <is>
          <t>🛢️油渍</t>
        </is>
      </c>
      <c r="B696" s="8" t="n">
        <v>3</v>
      </c>
      <c r="C696" s="9" t="inlineStr">
        <is>
          <t>灼烧 DOT ×2</t>
        </is>
      </c>
      <c r="D696" s="8">
        <f>1+B696+IF(B696&gt;=5,1,0)</f>
        <v/>
      </c>
      <c r="E696" s="8">
        <f>52.2*1.1^(B696-1)</f>
        <v/>
      </c>
      <c r="F696" s="8">
        <f>Config!I17*(1+IF(B696&gt;=3,1,0))</f>
        <v/>
      </c>
      <c r="G696" s="8" t="inlineStr">
        <is>
          <t>★Lv3质变</t>
        </is>
      </c>
    </row>
    <row r="697">
      <c r="A697" s="6" t="inlineStr">
        <is>
          <t>🛢️油渍</t>
        </is>
      </c>
      <c r="B697" s="6" t="n">
        <v>4</v>
      </c>
      <c r="C697" s="7" t="inlineStr">
        <is>
          <t>油渍数量 +1；半径 ×1.1 复合成长</t>
        </is>
      </c>
      <c r="D697" s="6">
        <f>1+B697+IF(B697&gt;=5,1,0)</f>
        <v/>
      </c>
      <c r="E697" s="6">
        <f>52.2*1.1^(B697-1)</f>
        <v/>
      </c>
      <c r="F697" s="6">
        <f>Config!I17*(1+IF(B697&gt;=3,1,0))</f>
        <v/>
      </c>
      <c r="G697" s="6" t="inlineStr"/>
    </row>
    <row r="698">
      <c r="A698" s="8" t="inlineStr">
        <is>
          <t>🛢️油渍</t>
        </is>
      </c>
      <c r="B698" s="8" t="n">
        <v>5</v>
      </c>
      <c r="C698" s="9" t="inlineStr">
        <is>
          <t>额外火池 +1 &amp; 减速</t>
        </is>
      </c>
      <c r="D698" s="8">
        <f>1+B698+IF(B698&gt;=5,1,0)</f>
        <v/>
      </c>
      <c r="E698" s="8">
        <f>52.2*1.1^(B698-1)</f>
        <v/>
      </c>
      <c r="F698" s="8">
        <f>Config!I17*(1+IF(B698&gt;=3,1,0))</f>
        <v/>
      </c>
      <c r="G698" s="8" t="inlineStr">
        <is>
          <t>★Lv5质变</t>
        </is>
      </c>
    </row>
    <row r="699">
      <c r="A699" s="6" t="inlineStr">
        <is>
          <t>🌪️龙卷风</t>
        </is>
      </c>
      <c r="B699" s="6" t="n">
        <v>1</v>
      </c>
      <c r="C699" s="7" t="inlineStr">
        <is>
          <t>龙卷风半径 +20</t>
        </is>
      </c>
      <c r="D699" s="6">
        <f>140+20*B699</f>
        <v/>
      </c>
      <c r="E699" s="6">
        <f>0.02*(1+0.3*B699)*IF(B699&gt;=3,1.5,1)</f>
        <v/>
      </c>
      <c r="F699" s="6">
        <f>IF(B699&gt;=5,Config!I18*0.1,0)</f>
        <v/>
      </c>
      <c r="G699" s="6" t="inlineStr"/>
    </row>
    <row r="700">
      <c r="A700" s="6" t="inlineStr">
        <is>
          <t>🌪️龙卷风</t>
        </is>
      </c>
      <c r="B700" s="6" t="n">
        <v>2</v>
      </c>
      <c r="C700" s="7" t="inlineStr">
        <is>
          <t>龙卷风半径 +20</t>
        </is>
      </c>
      <c r="D700" s="6">
        <f>140+20*B700</f>
        <v/>
      </c>
      <c r="E700" s="6">
        <f>0.02*(1+0.3*B700)*IF(B700&gt;=3,1.5,1)</f>
        <v/>
      </c>
      <c r="F700" s="6">
        <f>IF(B700&gt;=5,Config!I18*0.1,0)</f>
        <v/>
      </c>
      <c r="G700" s="6" t="inlineStr"/>
    </row>
    <row r="701">
      <c r="A701" s="8" t="inlineStr">
        <is>
          <t>🌪️龙卷风</t>
        </is>
      </c>
      <c r="B701" s="8" t="n">
        <v>3</v>
      </c>
      <c r="C701" s="9" t="inlineStr">
        <is>
          <t>牵引力 +50%</t>
        </is>
      </c>
      <c r="D701" s="8">
        <f>140+20*B701</f>
        <v/>
      </c>
      <c r="E701" s="8">
        <f>0.02*(1+0.3*B701)*IF(B701&gt;=3,1.5,1)</f>
        <v/>
      </c>
      <c r="F701" s="8">
        <f>IF(B701&gt;=5,Config!I18*0.1,0)</f>
        <v/>
      </c>
      <c r="G701" s="8" t="inlineStr">
        <is>
          <t>★Lv3质变</t>
        </is>
      </c>
    </row>
    <row r="702">
      <c r="A702" s="6" t="inlineStr">
        <is>
          <t>🌪️龙卷风</t>
        </is>
      </c>
      <c r="B702" s="6" t="n">
        <v>4</v>
      </c>
      <c r="C702" s="7" t="inlineStr">
        <is>
          <t>龙卷风半径 +20</t>
        </is>
      </c>
      <c r="D702" s="6">
        <f>140+20*B702</f>
        <v/>
      </c>
      <c r="E702" s="6">
        <f>0.02*(1+0.3*B702)*IF(B702&gt;=3,1.5,1)</f>
        <v/>
      </c>
      <c r="F702" s="6">
        <f>IF(B702&gt;=5,Config!I18*0.1,0)</f>
        <v/>
      </c>
      <c r="G702" s="6" t="inlineStr"/>
    </row>
    <row r="703">
      <c r="A703" s="8" t="inlineStr">
        <is>
          <t>🌪️龙卷风</t>
        </is>
      </c>
      <c r="B703" s="8" t="n">
        <v>5</v>
      </c>
      <c r="C703" s="9" t="inlineStr">
        <is>
          <t>龙卷内风伤启用</t>
        </is>
      </c>
      <c r="D703" s="8">
        <f>140+20*B703</f>
        <v/>
      </c>
      <c r="E703" s="8">
        <f>0.02*(1+0.3*B703)*IF(B703&gt;=3,1.5,1)</f>
        <v/>
      </c>
      <c r="F703" s="8">
        <f>IF(B703&gt;=5,Config!I18*0.1,0)</f>
        <v/>
      </c>
      <c r="G703" s="8" t="inlineStr">
        <is>
          <t>★Lv5质变</t>
        </is>
      </c>
    </row>
    <row r="704">
      <c r="A704" s="6" t="inlineStr">
        <is>
          <t>🌪️龙卷风</t>
        </is>
      </c>
      <c r="B704" s="6" t="n">
        <v>6</v>
      </c>
      <c r="C704" s="7" t="inlineStr">
        <is>
          <t>龙卷风半径 +20</t>
        </is>
      </c>
      <c r="D704" s="6">
        <f>140+20*B704</f>
        <v/>
      </c>
      <c r="E704" s="6">
        <f>0.02*(1+0.3*B704)*IF(B704&gt;=3,1.5,1)</f>
        <v/>
      </c>
      <c r="F704" s="6">
        <f>IF(B704&gt;=5,Config!I18*0.1,0)</f>
        <v/>
      </c>
      <c r="G704" s="6" t="inlineStr"/>
    </row>
    <row r="705">
      <c r="A705" s="6" t="inlineStr">
        <is>
          <t>🌪️龙卷风</t>
        </is>
      </c>
      <c r="B705" s="6" t="n">
        <v>7</v>
      </c>
      <c r="C705" s="7" t="inlineStr">
        <is>
          <t>龙卷风半径 +20</t>
        </is>
      </c>
      <c r="D705" s="6">
        <f>140+20*B705</f>
        <v/>
      </c>
      <c r="E705" s="6">
        <f>0.02*(1+0.3*B705)*IF(B705&gt;=3,1.5,1)</f>
        <v/>
      </c>
      <c r="F705" s="6">
        <f>IF(B705&gt;=5,Config!I18*0.1,0)</f>
        <v/>
      </c>
      <c r="G705" s="6" t="inlineStr"/>
    </row>
    <row r="706">
      <c r="A706" s="6" t="inlineStr">
        <is>
          <t>🌪️龙卷风</t>
        </is>
      </c>
      <c r="B706" s="6" t="n">
        <v>8</v>
      </c>
      <c r="C706" s="7" t="inlineStr">
        <is>
          <t>龙卷风半径 +20</t>
        </is>
      </c>
      <c r="D706" s="6">
        <f>140+20*B706</f>
        <v/>
      </c>
      <c r="E706" s="6">
        <f>0.02*(1+0.3*B706)*IF(B706&gt;=3,1.5,1)</f>
        <v/>
      </c>
      <c r="F706" s="6">
        <f>IF(B706&gt;=5,Config!I18*0.1,0)</f>
        <v/>
      </c>
      <c r="G706" s="6" t="inlineStr"/>
    </row>
    <row r="707">
      <c r="A707" s="6" t="inlineStr">
        <is>
          <t>🌪️龙卷风</t>
        </is>
      </c>
      <c r="B707" s="6" t="n">
        <v>9</v>
      </c>
      <c r="C707" s="7" t="inlineStr">
        <is>
          <t>龙卷风半径 +20</t>
        </is>
      </c>
      <c r="D707" s="6">
        <f>140+20*B707</f>
        <v/>
      </c>
      <c r="E707" s="6">
        <f>0.02*(1+0.3*B707)*IF(B707&gt;=3,1.5,1)</f>
        <v/>
      </c>
      <c r="F707" s="6">
        <f>IF(B707&gt;=5,Config!I18*0.1,0)</f>
        <v/>
      </c>
      <c r="G707" s="6" t="inlineStr"/>
    </row>
    <row r="708">
      <c r="A708" s="6" t="inlineStr">
        <is>
          <t>🌪️龙卷风</t>
        </is>
      </c>
      <c r="B708" s="6" t="n">
        <v>10</v>
      </c>
      <c r="C708" s="7" t="inlineStr">
        <is>
          <t>龙卷风半径 +20</t>
        </is>
      </c>
      <c r="D708" s="6">
        <f>140+20*B708</f>
        <v/>
      </c>
      <c r="E708" s="6">
        <f>0.02*(1+0.3*B708)*IF(B708&gt;=3,1.5,1)</f>
        <v/>
      </c>
      <c r="F708" s="6">
        <f>IF(B708&gt;=5,Config!I18*0.1,0)</f>
        <v/>
      </c>
      <c r="G70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技能数值策划表 · 使用说明</t>
        </is>
      </c>
    </row>
    <row r="2">
      <c r="A2" s="11" t="inlineStr"/>
    </row>
    <row r="3">
      <c r="A3" s="12" t="inlineStr">
        <is>
          <t>1. 本表由 game.js 的 SKILL_DEFS（15 个技能）如实导出，未做简化。</t>
        </is>
      </c>
    </row>
    <row r="4">
      <c r="A4" s="12" t="inlineStr">
        <is>
          <t>2. Sheet1「技能配置总览」：蓝色字体 = 你可以直接改的数值（基准值①/②、最大等级、每级系数说明）。</t>
        </is>
      </c>
    </row>
    <row r="5">
      <c r="A5" s="12" t="inlineStr">
        <is>
          <t>3. Sheet2「逐等级明细」：每一行=一个技能的一级；累计数值用 Excel 公式自动算出，改 Sheet1 基准会联动更新。</t>
        </is>
      </c>
    </row>
    <row r="6">
      <c r="A6" s="12" t="inlineStr">
        <is>
          <t>4. 黄底行 = 质变节点（Lv3 / Lv5），效果汉语已写明，与主效果不同。</t>
        </is>
      </c>
    </row>
    <row r="7">
      <c r="A7" s="12" t="inlineStr">
        <is>
          <t>5. 累计数值含义：</t>
        </is>
      </c>
    </row>
    <row r="8">
      <c r="A8" s="12" t="inlineStr">
        <is>
          <t xml:space="preserve">   - 乘法型（火力/弹速）：基准×每级系数^等级，例如火力 Lv3 = 10×1.2³ ≈ 17.28。</t>
        </is>
      </c>
    </row>
    <row r="9">
      <c r="A9" s="12" t="inlineStr">
        <is>
          <t xml:space="preserve">   - 加法型（生命/子弹/穿透）：基准 + 等级×增量。</t>
        </is>
      </c>
    </row>
    <row r="10">
      <c r="A10" s="12" t="inlineStr">
        <is>
          <t xml:space="preserve">   - 开关型（爆炸/闪电/护盾/暴击/冰/缓/地雷/油渍/龙卷）：无每级数值变化，数值在触发时按等级计算（已列公式）。</t>
        </is>
      </c>
    </row>
    <row r="11">
      <c r="A11" s="12" t="inlineStr">
        <is>
          <t>6. 你改完后把表发我（或直接告诉我改了哪几个数），我按此同步优化 game.js 的 SKILL_DEFS 与相关结算函数。</t>
        </is>
      </c>
    </row>
    <row r="12">
      <c r="A12" s="12" t="inlineStr">
        <is>
          <t>7. 注意：damage / fireRate / bulletSpeed / health / explosive / lightning 的 maxLevel=99 仅为上限，实战通常远低于此；</t>
        </is>
      </c>
    </row>
    <row r="13">
      <c r="A13" s="12" t="inlineStr">
        <is>
          <t xml:space="preserve">   真正影响手感的是 每级系数 与 质变阈值（Lv3/Lv5），这两处是配置重点。</t>
        </is>
      </c>
    </row>
    <row r="14">
      <c r="A14" s="12" t="inlineStr">
        <is>
          <t>8. 列说明：主数值=该技能核心数值；副数值①/②=多数值技能的次要数值（如半径/伤害/链数等）。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2026-08-10T09:09:58Z</dcterms:created>
  <dcterms:modified xsi:type="dcterms:W3CDTF">2026-08-10T09:09:58Z</dcterms:modified>
</cp:coreProperties>
</file>